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yuanduoming\Documents\canadian-grocers-analysis\"/>
    </mc:Choice>
  </mc:AlternateContent>
  <xr:revisionPtr revIDLastSave="0" documentId="13_ncr:1_{1DF94DE3-F85A-4016-8EC9-52EB216B48A0}" xr6:coauthVersionLast="47" xr6:coauthVersionMax="47" xr10:uidLastSave="{00000000-0000-0000-0000-000000000000}"/>
  <bookViews>
    <workbookView xWindow="-110" yWindow="-110" windowWidth="25820" windowHeight="15500" xr2:uid="{E5028DF4-65CC-4C7E-9DD0-2C5B8393ED95}"/>
  </bookViews>
  <sheets>
    <sheet name="Cover" sheetId="1" r:id="rId1"/>
    <sheet name="Dashboard" sheetId="2" r:id="rId2"/>
    <sheet name="Findings" sheetId="3" r:id="rId3"/>
    <sheet name="Ratios" sheetId="4" r:id="rId4"/>
    <sheet name="Model" sheetId="5" r:id="rId5"/>
    <sheet name="YoY" sheetId="6" r:id="rId6"/>
    <sheet name="Forecast" sheetId="7" r:id="rId7"/>
    <sheet name="Pivot" sheetId="8" r:id="rId8"/>
    <sheet name="Checks" sheetId="9" r:id="rId9"/>
    <sheet name="Data" sheetId="10" r:id="rId10"/>
    <sheet name="Map" sheetId="11" r:id="rId11"/>
    <sheet name="Periods" sheetId="12" r:id="rId12"/>
  </sheets>
  <definedNames>
    <definedName name="切片器_Fiscal_year">#N/A</definedName>
    <definedName name="切片器_Standard_line_item">#N/A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3" i="2" l="1"/>
  <c r="C12" i="2"/>
  <c r="B10" i="2"/>
  <c r="C6" i="9"/>
  <c r="C7" i="9"/>
  <c r="C8" i="9"/>
  <c r="C9" i="9"/>
  <c r="C10" i="9"/>
  <c r="C11" i="9"/>
  <c r="C12" i="9"/>
  <c r="C13" i="9"/>
  <c r="C14" i="9"/>
  <c r="C15" i="9"/>
  <c r="C16" i="9"/>
  <c r="C17" i="9"/>
  <c r="C18" i="9"/>
  <c r="C19" i="9"/>
  <c r="C20" i="9"/>
  <c r="C21" i="9"/>
  <c r="C22" i="9"/>
  <c r="C23" i="9"/>
  <c r="A51" i="4"/>
  <c r="A50" i="4"/>
  <c r="A49" i="4"/>
  <c r="A47" i="4"/>
  <c r="A46" i="4"/>
  <c r="A45" i="4"/>
  <c r="A43" i="4"/>
  <c r="A42" i="4"/>
  <c r="A41" i="4"/>
  <c r="A39" i="4"/>
  <c r="A38" i="4"/>
  <c r="A37" i="4"/>
  <c r="A35" i="4"/>
  <c r="A34" i="4"/>
  <c r="A33" i="4"/>
  <c r="A31" i="4"/>
  <c r="A30" i="4"/>
  <c r="A29" i="4"/>
  <c r="A27" i="4"/>
  <c r="A26" i="4"/>
  <c r="A25" i="4"/>
  <c r="A23" i="4"/>
  <c r="A22" i="4"/>
  <c r="A21" i="4"/>
  <c r="A19" i="4"/>
  <c r="A18" i="4"/>
  <c r="A17" i="4"/>
  <c r="A15" i="4"/>
  <c r="A14" i="4"/>
  <c r="A13" i="4"/>
  <c r="A11" i="4"/>
  <c r="A10" i="4"/>
  <c r="A9" i="4"/>
  <c r="A7" i="4"/>
  <c r="A6" i="4"/>
  <c r="A5" i="4"/>
  <c r="E6" i="10"/>
  <c r="F6" i="10" s="1"/>
  <c r="E7" i="10"/>
  <c r="F7" i="10" s="1"/>
  <c r="E8" i="10"/>
  <c r="F8" i="10" s="1"/>
  <c r="E9" i="10"/>
  <c r="F9" i="10" s="1"/>
  <c r="E10" i="10"/>
  <c r="F10" i="10" s="1"/>
  <c r="E11" i="10"/>
  <c r="F11" i="10" s="1"/>
  <c r="E12" i="10"/>
  <c r="F12" i="10" s="1"/>
  <c r="E13" i="10"/>
  <c r="F13" i="10" s="1"/>
  <c r="E14" i="10"/>
  <c r="F14" i="10" s="1"/>
  <c r="E15" i="10"/>
  <c r="F15" i="10" s="1"/>
  <c r="E16" i="10"/>
  <c r="F16" i="10" s="1"/>
  <c r="E17" i="10"/>
  <c r="F17" i="10" s="1"/>
  <c r="E18" i="10"/>
  <c r="F18" i="10" s="1"/>
  <c r="E19" i="10"/>
  <c r="F19" i="10" s="1"/>
  <c r="E20" i="10"/>
  <c r="F20" i="10" s="1"/>
  <c r="E21" i="10"/>
  <c r="F21" i="10" s="1"/>
  <c r="E22" i="10"/>
  <c r="F22" i="10" s="1"/>
  <c r="E23" i="10"/>
  <c r="F23" i="10" s="1"/>
  <c r="E24" i="10"/>
  <c r="F24" i="10" s="1"/>
  <c r="E25" i="10"/>
  <c r="F25" i="10" s="1"/>
  <c r="E26" i="10"/>
  <c r="F26" i="10" s="1"/>
  <c r="E27" i="10"/>
  <c r="F27" i="10" s="1"/>
  <c r="E28" i="10"/>
  <c r="F28" i="10" s="1"/>
  <c r="E29" i="10"/>
  <c r="F29" i="10" s="1"/>
  <c r="E30" i="10"/>
  <c r="F30" i="10" s="1"/>
  <c r="E31" i="10"/>
  <c r="F31" i="10" s="1"/>
  <c r="E32" i="10"/>
  <c r="F32" i="10" s="1"/>
  <c r="E33" i="10"/>
  <c r="F33" i="10" s="1"/>
  <c r="E34" i="10"/>
  <c r="F34" i="10" s="1"/>
  <c r="E35" i="10"/>
  <c r="F35" i="10" s="1"/>
  <c r="E36" i="10"/>
  <c r="F36" i="10" s="1"/>
  <c r="E37" i="10"/>
  <c r="F37" i="10" s="1"/>
  <c r="E38" i="10"/>
  <c r="F38" i="10" s="1"/>
  <c r="E39" i="10"/>
  <c r="F39" i="10" s="1"/>
  <c r="E40" i="10"/>
  <c r="F40" i="10" s="1"/>
  <c r="E41" i="10"/>
  <c r="F41" i="10" s="1"/>
  <c r="E42" i="10"/>
  <c r="F42" i="10" s="1"/>
  <c r="E43" i="10"/>
  <c r="F43" i="10" s="1"/>
  <c r="E44" i="10"/>
  <c r="F44" i="10" s="1"/>
  <c r="E45" i="10"/>
  <c r="F45" i="10" s="1"/>
  <c r="E46" i="10"/>
  <c r="F46" i="10" s="1"/>
  <c r="E47" i="10"/>
  <c r="F47" i="10" s="1"/>
  <c r="E48" i="10"/>
  <c r="F48" i="10" s="1"/>
  <c r="E49" i="10"/>
  <c r="F49" i="10" s="1"/>
  <c r="E50" i="10"/>
  <c r="F50" i="10" s="1"/>
  <c r="E51" i="10"/>
  <c r="F51" i="10" s="1"/>
  <c r="E52" i="10"/>
  <c r="F52" i="10" s="1"/>
  <c r="E53" i="10"/>
  <c r="F53" i="10" s="1"/>
  <c r="E54" i="10"/>
  <c r="F54" i="10" s="1"/>
  <c r="E55" i="10"/>
  <c r="F55" i="10" s="1"/>
  <c r="E56" i="10"/>
  <c r="F56" i="10" s="1"/>
  <c r="E57" i="10"/>
  <c r="F57" i="10" s="1"/>
  <c r="E58" i="10"/>
  <c r="F58" i="10" s="1"/>
  <c r="E59" i="10"/>
  <c r="F59" i="10" s="1"/>
  <c r="E60" i="10"/>
  <c r="F60" i="10" s="1"/>
  <c r="E61" i="10"/>
  <c r="F61" i="10" s="1"/>
  <c r="E62" i="10"/>
  <c r="F62" i="10" s="1"/>
  <c r="E63" i="10"/>
  <c r="F63" i="10" s="1"/>
  <c r="E64" i="10"/>
  <c r="F64" i="10" s="1"/>
  <c r="E65" i="10"/>
  <c r="F65" i="10" s="1"/>
  <c r="E66" i="10"/>
  <c r="F66" i="10" s="1"/>
  <c r="E67" i="10"/>
  <c r="F67" i="10" s="1"/>
  <c r="E68" i="10"/>
  <c r="F68" i="10" s="1"/>
  <c r="E69" i="10"/>
  <c r="F69" i="10" s="1"/>
  <c r="E70" i="10"/>
  <c r="F70" i="10" s="1"/>
  <c r="E71" i="10"/>
  <c r="F71" i="10" s="1"/>
  <c r="E72" i="10"/>
  <c r="F72" i="10" s="1"/>
  <c r="E73" i="10"/>
  <c r="F73" i="10" s="1"/>
  <c r="E74" i="10"/>
  <c r="F74" i="10" s="1"/>
  <c r="E75" i="10"/>
  <c r="F75" i="10" s="1"/>
  <c r="E76" i="10"/>
  <c r="F76" i="10" s="1"/>
  <c r="E77" i="10"/>
  <c r="F77" i="10" s="1"/>
  <c r="E78" i="10"/>
  <c r="F78" i="10" s="1"/>
  <c r="E79" i="10"/>
  <c r="F79" i="10" s="1"/>
  <c r="E80" i="10"/>
  <c r="F80" i="10" s="1"/>
  <c r="E81" i="10"/>
  <c r="F81" i="10" s="1"/>
  <c r="E82" i="10"/>
  <c r="F82" i="10" s="1"/>
  <c r="E83" i="10"/>
  <c r="F83" i="10" s="1"/>
  <c r="E84" i="10"/>
  <c r="F84" i="10" s="1"/>
  <c r="E85" i="10"/>
  <c r="F85" i="10" s="1"/>
  <c r="E86" i="10"/>
  <c r="F86" i="10" s="1"/>
  <c r="E87" i="10"/>
  <c r="F87" i="10" s="1"/>
  <c r="E88" i="10"/>
  <c r="F88" i="10" s="1"/>
  <c r="E89" i="10"/>
  <c r="F89" i="10" s="1"/>
  <c r="E90" i="10"/>
  <c r="F90" i="10" s="1"/>
  <c r="E91" i="10"/>
  <c r="F91" i="10" s="1"/>
  <c r="E92" i="10"/>
  <c r="F92" i="10" s="1"/>
  <c r="E93" i="10"/>
  <c r="F93" i="10" s="1"/>
  <c r="E94" i="10"/>
  <c r="F94" i="10" s="1"/>
  <c r="E95" i="10"/>
  <c r="F95" i="10" s="1"/>
  <c r="E96" i="10"/>
  <c r="F96" i="10" s="1"/>
  <c r="E97" i="10"/>
  <c r="F97" i="10" s="1"/>
  <c r="E98" i="10"/>
  <c r="F98" i="10" s="1"/>
  <c r="E99" i="10"/>
  <c r="F99" i="10" s="1"/>
  <c r="E100" i="10"/>
  <c r="F100" i="10" s="1"/>
  <c r="E101" i="10"/>
  <c r="F101" i="10" s="1"/>
  <c r="E102" i="10"/>
  <c r="F102" i="10" s="1"/>
  <c r="E103" i="10"/>
  <c r="F103" i="10" s="1"/>
  <c r="E104" i="10"/>
  <c r="F104" i="10" s="1"/>
  <c r="E105" i="10"/>
  <c r="F105" i="10" s="1"/>
  <c r="E106" i="10"/>
  <c r="F106" i="10" s="1"/>
  <c r="E107" i="10"/>
  <c r="F107" i="10" s="1"/>
  <c r="E108" i="10"/>
  <c r="F108" i="10" s="1"/>
  <c r="E109" i="10"/>
  <c r="F109" i="10" s="1"/>
  <c r="E110" i="10"/>
  <c r="F110" i="10" s="1"/>
  <c r="E111" i="10"/>
  <c r="F111" i="10" s="1"/>
  <c r="E112" i="10"/>
  <c r="F112" i="10" s="1"/>
  <c r="E113" i="10"/>
  <c r="F113" i="10" s="1"/>
  <c r="E114" i="10"/>
  <c r="F114" i="10" s="1"/>
  <c r="E115" i="10"/>
  <c r="F115" i="10" s="1"/>
  <c r="E116" i="10"/>
  <c r="F116" i="10" s="1"/>
  <c r="E117" i="10"/>
  <c r="F117" i="10" s="1"/>
  <c r="E118" i="10"/>
  <c r="F118" i="10" s="1"/>
  <c r="E119" i="10"/>
  <c r="F119" i="10" s="1"/>
  <c r="E120" i="10"/>
  <c r="F120" i="10" s="1"/>
  <c r="E121" i="10"/>
  <c r="F121" i="10" s="1"/>
  <c r="E122" i="10"/>
  <c r="F122" i="10" s="1"/>
  <c r="E123" i="10"/>
  <c r="F123" i="10" s="1"/>
  <c r="E124" i="10"/>
  <c r="F124" i="10" s="1"/>
  <c r="E125" i="10"/>
  <c r="F125" i="10" s="1"/>
  <c r="E126" i="10"/>
  <c r="F126" i="10" s="1"/>
  <c r="E127" i="10"/>
  <c r="F127" i="10" s="1"/>
  <c r="E128" i="10"/>
  <c r="F128" i="10" s="1"/>
  <c r="E129" i="10"/>
  <c r="F129" i="10" s="1"/>
  <c r="E130" i="10"/>
  <c r="F130" i="10" s="1"/>
  <c r="E131" i="10"/>
  <c r="F131" i="10" s="1"/>
  <c r="E132" i="10"/>
  <c r="F132" i="10" s="1"/>
  <c r="E133" i="10"/>
  <c r="F133" i="10" s="1"/>
  <c r="E134" i="10"/>
  <c r="F134" i="10" s="1"/>
  <c r="E135" i="10"/>
  <c r="F135" i="10" s="1"/>
  <c r="E136" i="10"/>
  <c r="F136" i="10" s="1"/>
  <c r="E137" i="10"/>
  <c r="F137" i="10" s="1"/>
  <c r="E138" i="10"/>
  <c r="F138" i="10" s="1"/>
  <c r="E139" i="10"/>
  <c r="F139" i="10" s="1"/>
  <c r="E140" i="10"/>
  <c r="F140" i="10" s="1"/>
  <c r="E141" i="10"/>
  <c r="F141" i="10" s="1"/>
  <c r="E142" i="10"/>
  <c r="F142" i="10" s="1"/>
  <c r="E143" i="10"/>
  <c r="F143" i="10" s="1"/>
  <c r="E144" i="10"/>
  <c r="F144" i="10" s="1"/>
  <c r="E145" i="10"/>
  <c r="F145" i="10" s="1"/>
  <c r="E146" i="10"/>
  <c r="F146" i="10" s="1"/>
  <c r="E147" i="10"/>
  <c r="F147" i="10" s="1"/>
  <c r="E148" i="10"/>
  <c r="F148" i="10" s="1"/>
  <c r="E149" i="10"/>
  <c r="F149" i="10" s="1"/>
  <c r="E150" i="10"/>
  <c r="F150" i="10" s="1"/>
  <c r="E151" i="10"/>
  <c r="F151" i="10" s="1"/>
  <c r="E152" i="10"/>
  <c r="F152" i="10" s="1"/>
  <c r="E153" i="10"/>
  <c r="F153" i="10" s="1"/>
  <c r="E154" i="10"/>
  <c r="F154" i="10" s="1"/>
  <c r="E155" i="10"/>
  <c r="F155" i="10" s="1"/>
  <c r="E156" i="10"/>
  <c r="F156" i="10" s="1"/>
  <c r="E157" i="10"/>
  <c r="F157" i="10" s="1"/>
  <c r="E158" i="10"/>
  <c r="F158" i="10" s="1"/>
  <c r="E159" i="10"/>
  <c r="F159" i="10" s="1"/>
  <c r="E160" i="10"/>
  <c r="F160" i="10" s="1"/>
  <c r="E161" i="10"/>
  <c r="F161" i="10" s="1"/>
  <c r="E162" i="10"/>
  <c r="F162" i="10" s="1"/>
  <c r="E163" i="10"/>
  <c r="F163" i="10" s="1"/>
  <c r="E164" i="10"/>
  <c r="F164" i="10" s="1"/>
  <c r="E165" i="10"/>
  <c r="F165" i="10" s="1"/>
  <c r="E166" i="10"/>
  <c r="F166" i="10" s="1"/>
  <c r="E167" i="10"/>
  <c r="F167" i="10" s="1"/>
  <c r="E168" i="10"/>
  <c r="F168" i="10" s="1"/>
  <c r="E169" i="10"/>
  <c r="F169" i="10" s="1"/>
  <c r="E170" i="10"/>
  <c r="F170" i="10" s="1"/>
  <c r="E171" i="10"/>
  <c r="F171" i="10" s="1"/>
  <c r="E172" i="10"/>
  <c r="F172" i="10" s="1"/>
  <c r="E173" i="10"/>
  <c r="F173" i="10" s="1"/>
  <c r="E174" i="10"/>
  <c r="F174" i="10" s="1"/>
  <c r="E175" i="10"/>
  <c r="F175" i="10" s="1"/>
  <c r="E176" i="10"/>
  <c r="F176" i="10" s="1"/>
  <c r="E177" i="10"/>
  <c r="F177" i="10" s="1"/>
  <c r="E178" i="10"/>
  <c r="F178" i="10" s="1"/>
  <c r="E179" i="10"/>
  <c r="F179" i="10" s="1"/>
  <c r="E180" i="10"/>
  <c r="F180" i="10" s="1"/>
  <c r="E181" i="10"/>
  <c r="F181" i="10" s="1"/>
  <c r="E182" i="10"/>
  <c r="F182" i="10" s="1"/>
  <c r="E183" i="10"/>
  <c r="F183" i="10" s="1"/>
  <c r="E184" i="10"/>
  <c r="F184" i="10" s="1"/>
  <c r="E185" i="10"/>
  <c r="F185" i="10" s="1"/>
  <c r="E186" i="10"/>
  <c r="F186" i="10" s="1"/>
  <c r="E187" i="10"/>
  <c r="F187" i="10" s="1"/>
  <c r="E188" i="10"/>
  <c r="F188" i="10" s="1"/>
  <c r="E189" i="10"/>
  <c r="F189" i="10" s="1"/>
  <c r="E190" i="10"/>
  <c r="F190" i="10" s="1"/>
  <c r="E191" i="10"/>
  <c r="F191" i="10" s="1"/>
  <c r="E192" i="10"/>
  <c r="F192" i="10" s="1"/>
  <c r="E193" i="10"/>
  <c r="F193" i="10" s="1"/>
  <c r="E194" i="10"/>
  <c r="F194" i="10" s="1"/>
  <c r="E195" i="10"/>
  <c r="F195" i="10" s="1"/>
  <c r="E196" i="10"/>
  <c r="F196" i="10" s="1"/>
  <c r="E197" i="10"/>
  <c r="F197" i="10" s="1"/>
  <c r="E198" i="10"/>
  <c r="F198" i="10" s="1"/>
  <c r="E199" i="10"/>
  <c r="F199" i="10" s="1"/>
  <c r="E200" i="10"/>
  <c r="F200" i="10" s="1"/>
  <c r="E201" i="10"/>
  <c r="F201" i="10" s="1"/>
  <c r="E202" i="10"/>
  <c r="F202" i="10" s="1"/>
  <c r="E203" i="10"/>
  <c r="F203" i="10" s="1"/>
  <c r="E204" i="10"/>
  <c r="F204" i="10" s="1"/>
  <c r="E205" i="10"/>
  <c r="F205" i="10" s="1"/>
  <c r="E206" i="10"/>
  <c r="F206" i="10" s="1"/>
  <c r="E207" i="10"/>
  <c r="F207" i="10" s="1"/>
  <c r="E208" i="10"/>
  <c r="F208" i="10" s="1"/>
  <c r="E209" i="10"/>
  <c r="F209" i="10" s="1"/>
  <c r="E210" i="10"/>
  <c r="F210" i="10" s="1"/>
  <c r="E211" i="10"/>
  <c r="F211" i="10" s="1"/>
  <c r="E212" i="10"/>
  <c r="F212" i="10" s="1"/>
  <c r="E213" i="10"/>
  <c r="F213" i="10" s="1"/>
  <c r="E214" i="10"/>
  <c r="F214" i="10" s="1"/>
  <c r="E215" i="10"/>
  <c r="F215" i="10" s="1"/>
  <c r="E216" i="10"/>
  <c r="F216" i="10" s="1"/>
  <c r="E217" i="10"/>
  <c r="F217" i="10" s="1"/>
  <c r="E218" i="10"/>
  <c r="F218" i="10" s="1"/>
  <c r="E219" i="10"/>
  <c r="F219" i="10" s="1"/>
  <c r="E220" i="10"/>
  <c r="F220" i="10" s="1"/>
  <c r="E221" i="10"/>
  <c r="F221" i="10" s="1"/>
  <c r="E222" i="10"/>
  <c r="F222" i="10" s="1"/>
  <c r="E223" i="10"/>
  <c r="F223" i="10" s="1"/>
  <c r="E224" i="10"/>
  <c r="F224" i="10" s="1"/>
  <c r="E225" i="10"/>
  <c r="F225" i="10" s="1"/>
  <c r="E226" i="10"/>
  <c r="F226" i="10" s="1"/>
  <c r="E227" i="10"/>
  <c r="F227" i="10" s="1"/>
  <c r="E228" i="10"/>
  <c r="F228" i="10" s="1"/>
  <c r="E229" i="10"/>
  <c r="F229" i="10" s="1"/>
  <c r="E230" i="10"/>
  <c r="F230" i="10" s="1"/>
  <c r="E231" i="10"/>
  <c r="F231" i="10" s="1"/>
  <c r="E232" i="10"/>
  <c r="F232" i="10" s="1"/>
  <c r="E233" i="10"/>
  <c r="F233" i="10" s="1"/>
  <c r="E234" i="10"/>
  <c r="F234" i="10" s="1"/>
  <c r="E235" i="10"/>
  <c r="F235" i="10" s="1"/>
  <c r="E236" i="10"/>
  <c r="F236" i="10" s="1"/>
  <c r="E237" i="10"/>
  <c r="F237" i="10" s="1"/>
  <c r="E238" i="10"/>
  <c r="F238" i="10" s="1"/>
  <c r="E239" i="10"/>
  <c r="F239" i="10" s="1"/>
  <c r="E240" i="10"/>
  <c r="F240" i="10" s="1"/>
  <c r="E241" i="10"/>
  <c r="F241" i="10" s="1"/>
  <c r="E242" i="10"/>
  <c r="F242" i="10" s="1"/>
  <c r="E243" i="10"/>
  <c r="F243" i="10" s="1"/>
  <c r="E244" i="10"/>
  <c r="F244" i="10" s="1"/>
  <c r="E245" i="10"/>
  <c r="F245" i="10" s="1"/>
  <c r="E246" i="10"/>
  <c r="F246" i="10" s="1"/>
  <c r="E247" i="10"/>
  <c r="F247" i="10" s="1"/>
  <c r="E248" i="10"/>
  <c r="F248" i="10" s="1"/>
  <c r="E249" i="10"/>
  <c r="F249" i="10" s="1"/>
  <c r="E250" i="10"/>
  <c r="F250" i="10" s="1"/>
  <c r="E251" i="10"/>
  <c r="F251" i="10" s="1"/>
  <c r="E252" i="10"/>
  <c r="F252" i="10" s="1"/>
  <c r="E253" i="10"/>
  <c r="F253" i="10" s="1"/>
  <c r="E254" i="10"/>
  <c r="F254" i="10" s="1"/>
  <c r="E255" i="10"/>
  <c r="F255" i="10" s="1"/>
  <c r="E256" i="10"/>
  <c r="F256" i="10" s="1"/>
  <c r="E257" i="10"/>
  <c r="F257" i="10" s="1"/>
  <c r="E258" i="10"/>
  <c r="F258" i="10" s="1"/>
  <c r="E259" i="10"/>
  <c r="F259" i="10" s="1"/>
  <c r="E260" i="10"/>
  <c r="F260" i="10" s="1"/>
  <c r="E261" i="10"/>
  <c r="F261" i="10" s="1"/>
  <c r="E262" i="10"/>
  <c r="F262" i="10" s="1"/>
  <c r="E263" i="10"/>
  <c r="F263" i="10" s="1"/>
  <c r="E264" i="10"/>
  <c r="F264" i="10" s="1"/>
  <c r="E265" i="10"/>
  <c r="F265" i="10" s="1"/>
  <c r="E266" i="10"/>
  <c r="F266" i="10" s="1"/>
  <c r="E267" i="10"/>
  <c r="F267" i="10" s="1"/>
  <c r="E268" i="10"/>
  <c r="F268" i="10" s="1"/>
  <c r="E269" i="10"/>
  <c r="F269" i="10" s="1"/>
  <c r="E270" i="10"/>
  <c r="F270" i="10" s="1"/>
  <c r="E271" i="10"/>
  <c r="F271" i="10" s="1"/>
  <c r="E272" i="10"/>
  <c r="F272" i="10" s="1"/>
  <c r="E273" i="10"/>
  <c r="F273" i="10" s="1"/>
  <c r="E274" i="10"/>
  <c r="F274" i="10" s="1"/>
  <c r="E275" i="10"/>
  <c r="F275" i="10" s="1"/>
  <c r="E276" i="10"/>
  <c r="F276" i="10" s="1"/>
  <c r="E277" i="10"/>
  <c r="F277" i="10" s="1"/>
  <c r="E278" i="10"/>
  <c r="F278" i="10" s="1"/>
  <c r="E279" i="10"/>
  <c r="F279" i="10" s="1"/>
  <c r="E280" i="10"/>
  <c r="F280" i="10" s="1"/>
  <c r="E281" i="10"/>
  <c r="F281" i="10" s="1"/>
  <c r="E282" i="10"/>
  <c r="F282" i="10" s="1"/>
  <c r="E283" i="10"/>
  <c r="F283" i="10" s="1"/>
  <c r="E284" i="10"/>
  <c r="F284" i="10" s="1"/>
  <c r="E285" i="10"/>
  <c r="F285" i="10" s="1"/>
  <c r="E286" i="10"/>
  <c r="F286" i="10" s="1"/>
  <c r="E287" i="10"/>
  <c r="F287" i="10" s="1"/>
  <c r="E288" i="10"/>
  <c r="F288" i="10" s="1"/>
  <c r="E289" i="10"/>
  <c r="F289" i="10" s="1"/>
  <c r="E290" i="10"/>
  <c r="F290" i="10" s="1"/>
  <c r="E291" i="10"/>
  <c r="F291" i="10" s="1"/>
  <c r="E292" i="10"/>
  <c r="F292" i="10" s="1"/>
  <c r="E293" i="10"/>
  <c r="F293" i="10" s="1"/>
  <c r="E294" i="10"/>
  <c r="F294" i="10" s="1"/>
  <c r="E295" i="10"/>
  <c r="F295" i="10" s="1"/>
  <c r="E296" i="10"/>
  <c r="F296" i="10" s="1"/>
  <c r="E297" i="10"/>
  <c r="F297" i="10" s="1"/>
  <c r="E298" i="10"/>
  <c r="F298" i="10" s="1"/>
  <c r="E299" i="10"/>
  <c r="F299" i="10" s="1"/>
  <c r="E300" i="10"/>
  <c r="F300" i="10" s="1"/>
  <c r="E301" i="10"/>
  <c r="F301" i="10" s="1"/>
  <c r="E302" i="10"/>
  <c r="F302" i="10" s="1"/>
  <c r="E303" i="10"/>
  <c r="F303" i="10" s="1"/>
  <c r="E304" i="10"/>
  <c r="F304" i="10" s="1"/>
  <c r="E305" i="10"/>
  <c r="F305" i="10" s="1"/>
  <c r="E306" i="10"/>
  <c r="F306" i="10" s="1"/>
  <c r="E307" i="10"/>
  <c r="F307" i="10" s="1"/>
  <c r="E308" i="10"/>
  <c r="F308" i="10" s="1"/>
  <c r="E309" i="10"/>
  <c r="F309" i="10" s="1"/>
  <c r="E310" i="10"/>
  <c r="F310" i="10" s="1"/>
  <c r="E311" i="10"/>
  <c r="F311" i="10" s="1"/>
  <c r="E312" i="10"/>
  <c r="F312" i="10" s="1"/>
  <c r="E313" i="10"/>
  <c r="F313" i="10" s="1"/>
  <c r="E314" i="10"/>
  <c r="F314" i="10" s="1"/>
  <c r="E315" i="10"/>
  <c r="F315" i="10" s="1"/>
  <c r="E316" i="10"/>
  <c r="F316" i="10" s="1"/>
  <c r="E317" i="10"/>
  <c r="F317" i="10" s="1"/>
  <c r="E318" i="10"/>
  <c r="F318" i="10" s="1"/>
  <c r="E319" i="10"/>
  <c r="F319" i="10" s="1"/>
  <c r="E320" i="10"/>
  <c r="F320" i="10" s="1"/>
  <c r="E321" i="10"/>
  <c r="F321" i="10" s="1"/>
  <c r="E322" i="10"/>
  <c r="F322" i="10" s="1"/>
  <c r="E323" i="10"/>
  <c r="F323" i="10" s="1"/>
  <c r="E324" i="10"/>
  <c r="F324" i="10" s="1"/>
  <c r="E325" i="10"/>
  <c r="F325" i="10" s="1"/>
  <c r="E326" i="10"/>
  <c r="F326" i="10" s="1"/>
  <c r="E327" i="10"/>
  <c r="F327" i="10" s="1"/>
  <c r="E328" i="10"/>
  <c r="F328" i="10" s="1"/>
  <c r="E329" i="10"/>
  <c r="F329" i="10" s="1"/>
  <c r="E330" i="10"/>
  <c r="F330" i="10" s="1"/>
  <c r="E331" i="10"/>
  <c r="F331" i="10" s="1"/>
  <c r="E332" i="10"/>
  <c r="F332" i="10" s="1"/>
  <c r="E333" i="10"/>
  <c r="F333" i="10" s="1"/>
  <c r="E334" i="10"/>
  <c r="F334" i="10" s="1"/>
  <c r="E335" i="10"/>
  <c r="F335" i="10" s="1"/>
  <c r="E336" i="10"/>
  <c r="F336" i="10" s="1"/>
  <c r="E337" i="10"/>
  <c r="F337" i="10" s="1"/>
  <c r="E338" i="10"/>
  <c r="F338" i="10" s="1"/>
  <c r="E339" i="10"/>
  <c r="F339" i="10" s="1"/>
  <c r="E340" i="10"/>
  <c r="F340" i="10" s="1"/>
  <c r="E341" i="10"/>
  <c r="F341" i="10" s="1"/>
  <c r="E342" i="10"/>
  <c r="F342" i="10" s="1"/>
  <c r="E343" i="10"/>
  <c r="F343" i="10" s="1"/>
  <c r="E344" i="10"/>
  <c r="F344" i="10" s="1"/>
  <c r="E345" i="10"/>
  <c r="F345" i="10" s="1"/>
  <c r="E346" i="10"/>
  <c r="F346" i="10" s="1"/>
  <c r="E347" i="10"/>
  <c r="F347" i="10" s="1"/>
  <c r="A6" i="12"/>
  <c r="A7" i="12"/>
  <c r="A8" i="12"/>
  <c r="A9" i="12"/>
  <c r="A10" i="12"/>
  <c r="A11" i="12"/>
  <c r="A12" i="12"/>
  <c r="A13" i="12"/>
  <c r="A14" i="12"/>
  <c r="A15" i="12"/>
  <c r="A16" i="12"/>
  <c r="A17" i="12"/>
  <c r="A18" i="12"/>
  <c r="A19" i="12"/>
  <c r="A20" i="12"/>
  <c r="A21" i="12"/>
  <c r="A22" i="12"/>
  <c r="A23" i="12"/>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D21" i="2" l="1"/>
  <c r="H21" i="2"/>
  <c r="D20" i="2"/>
  <c r="H20" i="2"/>
  <c r="B12" i="5"/>
  <c r="B17" i="5"/>
  <c r="B23" i="5"/>
  <c r="B11" i="5"/>
  <c r="B18" i="5"/>
  <c r="B24" i="5"/>
  <c r="E6" i="9"/>
  <c r="B7" i="5"/>
  <c r="B14" i="5"/>
  <c r="B21" i="5"/>
  <c r="B15" i="5"/>
  <c r="B22" i="5"/>
  <c r="B6" i="5"/>
  <c r="B8" i="5" s="1"/>
  <c r="D13" i="4" s="1"/>
  <c r="C14" i="2" s="1"/>
  <c r="B10" i="5"/>
  <c r="B16" i="5"/>
  <c r="B20" i="5"/>
  <c r="D41" i="4" s="1"/>
  <c r="C21" i="2" s="1"/>
  <c r="B25" i="5"/>
  <c r="B13" i="5"/>
  <c r="B19" i="5"/>
  <c r="B27" i="5"/>
  <c r="D6" i="9"/>
  <c r="F6" i="9"/>
  <c r="G6" i="9"/>
  <c r="H6" i="9"/>
  <c r="C6" i="5"/>
  <c r="C13" i="5"/>
  <c r="C18" i="5"/>
  <c r="C24" i="5"/>
  <c r="C12" i="5"/>
  <c r="C19" i="5"/>
  <c r="C27" i="5"/>
  <c r="E7" i="9"/>
  <c r="C10" i="5"/>
  <c r="C15" i="5"/>
  <c r="C22" i="5"/>
  <c r="C16" i="5"/>
  <c r="C23" i="5"/>
  <c r="C25" i="5"/>
  <c r="C7" i="5"/>
  <c r="C11" i="5"/>
  <c r="C17" i="5"/>
  <c r="E37" i="4" s="1"/>
  <c r="C21" i="5"/>
  <c r="C14" i="5"/>
  <c r="C20" i="5"/>
  <c r="E41" i="4" s="1"/>
  <c r="D7" i="9"/>
  <c r="F7" i="9"/>
  <c r="G7" i="9"/>
  <c r="H7" i="9"/>
  <c r="D19" i="5"/>
  <c r="E8" i="9"/>
  <c r="F8" i="9"/>
  <c r="D13" i="5"/>
  <c r="D14" i="5"/>
  <c r="D20" i="5"/>
  <c r="G8" i="9"/>
  <c r="D11" i="5"/>
  <c r="D16" i="5"/>
  <c r="D23" i="5"/>
  <c r="D24" i="5"/>
  <c r="D25" i="5"/>
  <c r="D17" i="5"/>
  <c r="F37" i="4" s="1"/>
  <c r="E20" i="2" s="1"/>
  <c r="D18" i="5"/>
  <c r="D10" i="5"/>
  <c r="C10" i="6" s="1"/>
  <c r="D12" i="5"/>
  <c r="D27" i="5"/>
  <c r="D6" i="5"/>
  <c r="D7" i="5"/>
  <c r="C7" i="6" s="1"/>
  <c r="D15" i="5"/>
  <c r="D21" i="5"/>
  <c r="D22" i="5"/>
  <c r="D8" i="9"/>
  <c r="H8" i="9"/>
  <c r="E12" i="5"/>
  <c r="E17" i="5"/>
  <c r="E23" i="5"/>
  <c r="E11" i="5"/>
  <c r="E18" i="5"/>
  <c r="E24" i="5"/>
  <c r="D9" i="9"/>
  <c r="E9" i="9"/>
  <c r="E20" i="5"/>
  <c r="E21" i="5"/>
  <c r="E7" i="5"/>
  <c r="E10" i="5"/>
  <c r="E14" i="5"/>
  <c r="E15" i="5"/>
  <c r="E22" i="5"/>
  <c r="E6" i="5"/>
  <c r="E16" i="5"/>
  <c r="E25" i="5"/>
  <c r="E13" i="5"/>
  <c r="E19" i="5"/>
  <c r="E27" i="5"/>
  <c r="F9" i="9"/>
  <c r="G9" i="9"/>
  <c r="H9" i="9"/>
  <c r="F10" i="5"/>
  <c r="E10" i="6" s="1"/>
  <c r="F17" i="5"/>
  <c r="H37" i="4" s="1"/>
  <c r="G20" i="2" s="1"/>
  <c r="F23" i="5"/>
  <c r="F27" i="5"/>
  <c r="F7" i="5"/>
  <c r="E7" i="6" s="1"/>
  <c r="F14" i="5"/>
  <c r="F19" i="5"/>
  <c r="F6" i="5"/>
  <c r="F13" i="5"/>
  <c r="F21" i="5"/>
  <c r="F15" i="5"/>
  <c r="F20" i="5"/>
  <c r="H41" i="4" s="1"/>
  <c r="G21" i="2" s="1"/>
  <c r="F24" i="5"/>
  <c r="F12" i="5"/>
  <c r="F18" i="5"/>
  <c r="F25" i="5"/>
  <c r="D10" i="9"/>
  <c r="H10" i="9"/>
  <c r="F11" i="5"/>
  <c r="F16" i="5"/>
  <c r="H45" i="4" s="1"/>
  <c r="G22" i="2" s="1"/>
  <c r="F22" i="5"/>
  <c r="E10" i="9"/>
  <c r="F10" i="9"/>
  <c r="G10" i="9"/>
  <c r="G10" i="5"/>
  <c r="G15" i="5"/>
  <c r="G21" i="5"/>
  <c r="G27" i="5"/>
  <c r="D11" i="9"/>
  <c r="C16" i="7"/>
  <c r="E19" i="7"/>
  <c r="D19" i="7"/>
  <c r="C19" i="7"/>
  <c r="G7" i="5"/>
  <c r="G16" i="5"/>
  <c r="G22" i="5"/>
  <c r="G11" i="9"/>
  <c r="F28" i="7"/>
  <c r="B7" i="2"/>
  <c r="G6" i="5"/>
  <c r="G13" i="5"/>
  <c r="G18" i="5"/>
  <c r="G12" i="5"/>
  <c r="G20" i="5"/>
  <c r="I41" i="4" s="1"/>
  <c r="G25" i="5"/>
  <c r="G14" i="5"/>
  <c r="G19" i="5"/>
  <c r="G23" i="5"/>
  <c r="G11" i="5"/>
  <c r="G17" i="5"/>
  <c r="I37" i="4" s="1"/>
  <c r="G24" i="5"/>
  <c r="G26" i="5" s="1"/>
  <c r="E11" i="9"/>
  <c r="F11" i="9"/>
  <c r="H11" i="9"/>
  <c r="B40" i="5"/>
  <c r="B43" i="5"/>
  <c r="D38" i="4" s="1"/>
  <c r="B51" i="5"/>
  <c r="D12" i="9"/>
  <c r="B41" i="5"/>
  <c r="B47" i="5"/>
  <c r="G12" i="9"/>
  <c r="H12" i="9"/>
  <c r="B32" i="5"/>
  <c r="B39" i="5"/>
  <c r="B42" i="5"/>
  <c r="B48" i="5"/>
  <c r="B37" i="5"/>
  <c r="B35" i="5" s="1"/>
  <c r="D18" i="4" s="1"/>
  <c r="B44" i="5"/>
  <c r="E12" i="9"/>
  <c r="F12" i="9"/>
  <c r="B33" i="5"/>
  <c r="B38" i="5"/>
  <c r="D26" i="4" s="1"/>
  <c r="B46" i="5"/>
  <c r="B49" i="5"/>
  <c r="B53" i="5"/>
  <c r="B36" i="5"/>
  <c r="B45" i="5"/>
  <c r="B50" i="5"/>
  <c r="C38" i="5"/>
  <c r="C40" i="5"/>
  <c r="C45" i="5"/>
  <c r="C47" i="5"/>
  <c r="C50" i="5"/>
  <c r="E13" i="9"/>
  <c r="C39" i="5"/>
  <c r="C37" i="5"/>
  <c r="C41" i="5"/>
  <c r="C46" i="5"/>
  <c r="E42" i="4" s="1"/>
  <c r="C51" i="5"/>
  <c r="C36" i="5"/>
  <c r="B23" i="6" s="1"/>
  <c r="C44" i="5"/>
  <c r="D13" i="9"/>
  <c r="C32" i="5"/>
  <c r="C42" i="5"/>
  <c r="C48" i="5"/>
  <c r="C53" i="5"/>
  <c r="H13" i="9"/>
  <c r="C33" i="5"/>
  <c r="C43" i="5"/>
  <c r="C49" i="5"/>
  <c r="F13" i="9"/>
  <c r="G13" i="9"/>
  <c r="D38" i="5"/>
  <c r="D39" i="5"/>
  <c r="D47" i="5"/>
  <c r="D32" i="5"/>
  <c r="D45" i="5"/>
  <c r="D46" i="5"/>
  <c r="F42" i="4" s="1"/>
  <c r="D53" i="5"/>
  <c r="D14" i="9"/>
  <c r="D33" i="5"/>
  <c r="C20" i="6" s="1"/>
  <c r="D36" i="5"/>
  <c r="D37" i="5"/>
  <c r="D49" i="5"/>
  <c r="G14" i="9"/>
  <c r="H14" i="9"/>
  <c r="D44" i="5"/>
  <c r="D50" i="5"/>
  <c r="D51" i="5"/>
  <c r="E14" i="9"/>
  <c r="D48" i="5"/>
  <c r="F14" i="9"/>
  <c r="D40" i="5"/>
  <c r="D41" i="5"/>
  <c r="F30" i="4" s="1"/>
  <c r="D42" i="5"/>
  <c r="D43" i="5"/>
  <c r="E40" i="5"/>
  <c r="E43" i="5"/>
  <c r="G38" i="4" s="1"/>
  <c r="E50" i="5"/>
  <c r="E51" i="5"/>
  <c r="D15" i="9"/>
  <c r="E41" i="5"/>
  <c r="E46" i="5"/>
  <c r="E47" i="5"/>
  <c r="E15" i="9"/>
  <c r="F15" i="9"/>
  <c r="E32" i="5"/>
  <c r="E39" i="5"/>
  <c r="E42" i="5"/>
  <c r="E48" i="5"/>
  <c r="H15" i="9"/>
  <c r="E37" i="5"/>
  <c r="E44" i="5"/>
  <c r="G15" i="9"/>
  <c r="E38" i="5"/>
  <c r="E49" i="5"/>
  <c r="E53" i="5"/>
  <c r="E33" i="5"/>
  <c r="E36" i="5"/>
  <c r="E45" i="5"/>
  <c r="F39" i="5"/>
  <c r="F42" i="5"/>
  <c r="F49" i="5"/>
  <c r="D16" i="9"/>
  <c r="F40" i="5"/>
  <c r="F45" i="5"/>
  <c r="F53" i="5"/>
  <c r="H16" i="9"/>
  <c r="F38" i="5"/>
  <c r="F41" i="5"/>
  <c r="F47" i="5"/>
  <c r="F16" i="9"/>
  <c r="G16" i="9"/>
  <c r="F36" i="5"/>
  <c r="E23" i="6" s="1"/>
  <c r="F43" i="5"/>
  <c r="H38" i="4" s="1"/>
  <c r="E16" i="9"/>
  <c r="F33" i="5"/>
  <c r="F37" i="5"/>
  <c r="F46" i="5"/>
  <c r="H42" i="4" s="1"/>
  <c r="F48" i="5"/>
  <c r="F51" i="5"/>
  <c r="F32" i="5"/>
  <c r="F44" i="5"/>
  <c r="F50" i="5"/>
  <c r="F52" i="5" s="1"/>
  <c r="G32" i="5"/>
  <c r="G45" i="5"/>
  <c r="G41" i="5"/>
  <c r="G43" i="5"/>
  <c r="I38" i="4" s="1"/>
  <c r="G49" i="5"/>
  <c r="G36" i="5"/>
  <c r="G38" i="5"/>
  <c r="G48" i="5"/>
  <c r="D17" i="9"/>
  <c r="G39" i="5"/>
  <c r="G44" i="5"/>
  <c r="G51" i="5"/>
  <c r="G17" i="9"/>
  <c r="G37" i="5"/>
  <c r="G46" i="5"/>
  <c r="E17" i="9"/>
  <c r="H17" i="9"/>
  <c r="G33" i="5"/>
  <c r="G40" i="5"/>
  <c r="G42" i="5"/>
  <c r="G47" i="5"/>
  <c r="G50" i="5"/>
  <c r="G52" i="5" s="1"/>
  <c r="G53" i="5"/>
  <c r="F17" i="9"/>
  <c r="B64" i="5"/>
  <c r="B66" i="5"/>
  <c r="B70" i="5"/>
  <c r="D18" i="9"/>
  <c r="B65" i="5"/>
  <c r="B69" i="5"/>
  <c r="E18" i="9"/>
  <c r="F18" i="9"/>
  <c r="H18" i="9"/>
  <c r="B68" i="5"/>
  <c r="B58" i="5"/>
  <c r="B62" i="5"/>
  <c r="G18" i="9"/>
  <c r="B63" i="5"/>
  <c r="B61" i="5" s="1"/>
  <c r="D19" i="4" s="1"/>
  <c r="B71" i="5"/>
  <c r="B74" i="5"/>
  <c r="B75" i="5"/>
  <c r="B76" i="5"/>
  <c r="B77" i="5"/>
  <c r="B79" i="5"/>
  <c r="B59" i="5"/>
  <c r="B67" i="5"/>
  <c r="D31" i="4" s="1"/>
  <c r="B72" i="5"/>
  <c r="B73" i="5"/>
  <c r="C63" i="5"/>
  <c r="E19" i="9"/>
  <c r="H19" i="9"/>
  <c r="C64" i="5"/>
  <c r="C71" i="5"/>
  <c r="C73" i="5"/>
  <c r="C74" i="5"/>
  <c r="C62" i="5"/>
  <c r="C68" i="5"/>
  <c r="C72" i="5"/>
  <c r="E43" i="4" s="1"/>
  <c r="C75" i="5"/>
  <c r="C76" i="5"/>
  <c r="C77" i="5"/>
  <c r="C79" i="5"/>
  <c r="C59" i="5"/>
  <c r="C67" i="5"/>
  <c r="E31" i="4" s="1"/>
  <c r="D19" i="9"/>
  <c r="C66" i="5"/>
  <c r="C70" i="5"/>
  <c r="C58" i="5"/>
  <c r="C65" i="5"/>
  <c r="C69" i="5"/>
  <c r="E39" i="4" s="1"/>
  <c r="F19" i="9"/>
  <c r="G19" i="9"/>
  <c r="D64" i="5"/>
  <c r="D65" i="5"/>
  <c r="D66" i="5"/>
  <c r="D67" i="5"/>
  <c r="D68" i="5"/>
  <c r="D69" i="5"/>
  <c r="G20" i="9"/>
  <c r="D72" i="5"/>
  <c r="D75" i="5"/>
  <c r="D76" i="5"/>
  <c r="D77" i="5"/>
  <c r="D79" i="5"/>
  <c r="D71" i="5"/>
  <c r="D73" i="5"/>
  <c r="D74" i="5"/>
  <c r="D20" i="9"/>
  <c r="D58" i="5"/>
  <c r="F20" i="9"/>
  <c r="D59" i="5"/>
  <c r="C33" i="6" s="1"/>
  <c r="D62" i="5"/>
  <c r="C36" i="6" s="1"/>
  <c r="D63" i="5"/>
  <c r="C37" i="6" s="1"/>
  <c r="D70" i="5"/>
  <c r="E20" i="9"/>
  <c r="H20" i="9"/>
  <c r="E64" i="5"/>
  <c r="E65" i="5"/>
  <c r="E21" i="9"/>
  <c r="G21" i="9"/>
  <c r="H21" i="9"/>
  <c r="E58" i="5"/>
  <c r="F21" i="9"/>
  <c r="E62" i="5"/>
  <c r="D36" i="6" s="1"/>
  <c r="E63" i="5"/>
  <c r="D37" i="6" s="1"/>
  <c r="E68" i="5"/>
  <c r="E69" i="5"/>
  <c r="E70" i="5"/>
  <c r="E71" i="5"/>
  <c r="E73" i="5"/>
  <c r="E74" i="5"/>
  <c r="E59" i="5"/>
  <c r="D33" i="6" s="1"/>
  <c r="E66" i="5"/>
  <c r="E67" i="5"/>
  <c r="G31" i="4" s="1"/>
  <c r="E72" i="5"/>
  <c r="G43" i="4" s="1"/>
  <c r="E75" i="5"/>
  <c r="E76" i="5"/>
  <c r="E77" i="5"/>
  <c r="E79" i="5"/>
  <c r="D21" i="9"/>
  <c r="F58" i="5"/>
  <c r="F65" i="5"/>
  <c r="F71" i="5"/>
  <c r="F73" i="5"/>
  <c r="F74" i="5"/>
  <c r="F64" i="5"/>
  <c r="F66" i="5"/>
  <c r="F70" i="5"/>
  <c r="D22" i="9"/>
  <c r="F63" i="5"/>
  <c r="F69" i="5"/>
  <c r="H39" i="4" s="1"/>
  <c r="F68" i="5"/>
  <c r="F22" i="9"/>
  <c r="G22" i="9"/>
  <c r="F62" i="5"/>
  <c r="E36" i="6" s="1"/>
  <c r="E22" i="9"/>
  <c r="H22" i="9"/>
  <c r="F59" i="5"/>
  <c r="E33" i="6" s="1"/>
  <c r="F67" i="5"/>
  <c r="H31" i="4" s="1"/>
  <c r="F72" i="5"/>
  <c r="H43" i="4" s="1"/>
  <c r="F75" i="5"/>
  <c r="F76" i="5"/>
  <c r="F77" i="5"/>
  <c r="F79" i="5"/>
  <c r="G59" i="5"/>
  <c r="F33" i="6" s="1"/>
  <c r="G63" i="5"/>
  <c r="G69" i="5"/>
  <c r="I39" i="4" s="1"/>
  <c r="D23" i="9"/>
  <c r="G62" i="5"/>
  <c r="G68" i="5"/>
  <c r="F23" i="9"/>
  <c r="G58" i="5"/>
  <c r="G65" i="5"/>
  <c r="G67" i="5"/>
  <c r="E23" i="9"/>
  <c r="H23" i="9"/>
  <c r="G71" i="5"/>
  <c r="G23" i="9"/>
  <c r="G66" i="5"/>
  <c r="G73" i="5"/>
  <c r="G74" i="5"/>
  <c r="G64" i="5"/>
  <c r="G70" i="5"/>
  <c r="G72" i="5"/>
  <c r="I43" i="4" s="1"/>
  <c r="G75" i="5"/>
  <c r="G76" i="5"/>
  <c r="G77" i="5"/>
  <c r="G79" i="5"/>
  <c r="G29" i="5"/>
  <c r="C29" i="5"/>
  <c r="C81" i="5"/>
  <c r="D81" i="5"/>
  <c r="F81" i="5"/>
  <c r="B55" i="5"/>
  <c r="C55" i="5"/>
  <c r="G55" i="5"/>
  <c r="F29" i="5"/>
  <c r="B29" i="5"/>
  <c r="E29" i="5"/>
  <c r="E55" i="5"/>
  <c r="I10" i="9"/>
  <c r="I9" i="9"/>
  <c r="I8" i="9"/>
  <c r="I7" i="9"/>
  <c r="I6" i="9"/>
  <c r="F55" i="5"/>
  <c r="D55" i="5"/>
  <c r="I22" i="9"/>
  <c r="I21" i="9"/>
  <c r="I20" i="9"/>
  <c r="D29" i="5"/>
  <c r="I11" i="9"/>
  <c r="I18" i="9"/>
  <c r="I17" i="9"/>
  <c r="I23" i="9"/>
  <c r="I15" i="9"/>
  <c r="B81" i="5"/>
  <c r="I19" i="9"/>
  <c r="G81" i="5"/>
  <c r="I14" i="9"/>
  <c r="I13" i="9"/>
  <c r="I16" i="9"/>
  <c r="I12" i="9"/>
  <c r="E81" i="5"/>
  <c r="D61" i="5"/>
  <c r="E61" i="5"/>
  <c r="E35" i="5"/>
  <c r="F35" i="5"/>
  <c r="G35" i="5"/>
  <c r="E9" i="5"/>
  <c r="D21" i="4" l="1"/>
  <c r="C16" i="2" s="1"/>
  <c r="D33" i="4"/>
  <c r="C19" i="2" s="1"/>
  <c r="C8" i="5"/>
  <c r="E5" i="4"/>
  <c r="D12" i="2" s="1"/>
  <c r="E9" i="4"/>
  <c r="D13" i="2" s="1"/>
  <c r="B6" i="6"/>
  <c r="E25" i="4"/>
  <c r="D17" i="2" s="1"/>
  <c r="B12" i="6"/>
  <c r="B14" i="6"/>
  <c r="C28" i="5"/>
  <c r="B11" i="6"/>
  <c r="C9" i="5"/>
  <c r="E21" i="4"/>
  <c r="D16" i="2" s="1"/>
  <c r="E33" i="4"/>
  <c r="D19" i="2" s="1"/>
  <c r="B13" i="6"/>
  <c r="F21" i="4"/>
  <c r="E16" i="2" s="1"/>
  <c r="F33" i="4"/>
  <c r="E19" i="2" s="1"/>
  <c r="C13" i="6"/>
  <c r="C11" i="6"/>
  <c r="D9" i="5"/>
  <c r="D9" i="6" s="1"/>
  <c r="C14" i="6"/>
  <c r="D28" i="5"/>
  <c r="F25" i="4"/>
  <c r="E17" i="2" s="1"/>
  <c r="C12" i="6"/>
  <c r="D8" i="5"/>
  <c r="F5" i="4"/>
  <c r="E12" i="2" s="1"/>
  <c r="F9" i="4"/>
  <c r="E13" i="2" s="1"/>
  <c r="C6" i="6"/>
  <c r="G25" i="4"/>
  <c r="D12" i="6"/>
  <c r="D14" i="6"/>
  <c r="D13" i="6"/>
  <c r="G21" i="4"/>
  <c r="F16" i="2" s="1"/>
  <c r="G33" i="4"/>
  <c r="F19" i="2" s="1"/>
  <c r="E8" i="5"/>
  <c r="G5" i="4"/>
  <c r="F12" i="2" s="1"/>
  <c r="D6" i="6"/>
  <c r="G9" i="4"/>
  <c r="E14" i="6"/>
  <c r="H21" i="4"/>
  <c r="G16" i="2" s="1"/>
  <c r="H33" i="4"/>
  <c r="G19" i="2" s="1"/>
  <c r="E13" i="6"/>
  <c r="F8" i="5"/>
  <c r="H5" i="4"/>
  <c r="G12" i="2" s="1"/>
  <c r="H9" i="4"/>
  <c r="E6" i="6"/>
  <c r="H25" i="4"/>
  <c r="E12" i="6"/>
  <c r="D16" i="7"/>
  <c r="E16" i="7"/>
  <c r="E22" i="7" s="1"/>
  <c r="C22" i="7"/>
  <c r="F19" i="7"/>
  <c r="G8" i="5"/>
  <c r="I5" i="4"/>
  <c r="H12" i="2" s="1"/>
  <c r="F6" i="6"/>
  <c r="I9" i="4"/>
  <c r="F12" i="6"/>
  <c r="I25" i="4"/>
  <c r="I21" i="4"/>
  <c r="I33" i="4"/>
  <c r="H19" i="2" s="1"/>
  <c r="F13" i="6"/>
  <c r="G28" i="5"/>
  <c r="F14" i="6"/>
  <c r="D22" i="4"/>
  <c r="D34" i="4"/>
  <c r="E26" i="4"/>
  <c r="B25" i="6"/>
  <c r="E22" i="4"/>
  <c r="E34" i="4"/>
  <c r="B26" i="6"/>
  <c r="B24" i="6"/>
  <c r="C35" i="5"/>
  <c r="C34" i="5"/>
  <c r="E10" i="4"/>
  <c r="E6" i="4"/>
  <c r="B19" i="6"/>
  <c r="B27" i="6"/>
  <c r="C25" i="6"/>
  <c r="F26" i="4"/>
  <c r="D34" i="5"/>
  <c r="F10" i="4"/>
  <c r="F6" i="4"/>
  <c r="C19" i="6"/>
  <c r="D35" i="5"/>
  <c r="C24" i="6"/>
  <c r="C27" i="6"/>
  <c r="F22" i="4"/>
  <c r="F34" i="4"/>
  <c r="C26" i="6"/>
  <c r="G22" i="4"/>
  <c r="G34" i="4"/>
  <c r="D26" i="6"/>
  <c r="E34" i="5"/>
  <c r="G10" i="4"/>
  <c r="G6" i="4"/>
  <c r="D19" i="6"/>
  <c r="G26" i="4"/>
  <c r="D25" i="6"/>
  <c r="D27" i="6"/>
  <c r="F54" i="5"/>
  <c r="E27" i="6"/>
  <c r="H22" i="4"/>
  <c r="H34" i="4"/>
  <c r="E26" i="6"/>
  <c r="H26" i="4"/>
  <c r="E25" i="6"/>
  <c r="H6" i="4"/>
  <c r="E19" i="6"/>
  <c r="F34" i="5"/>
  <c r="H10" i="4"/>
  <c r="G34" i="5"/>
  <c r="I6" i="4"/>
  <c r="I10" i="4"/>
  <c r="F19" i="6"/>
  <c r="F27" i="6"/>
  <c r="G54" i="5"/>
  <c r="I26" i="4"/>
  <c r="F25" i="6"/>
  <c r="I22" i="4"/>
  <c r="I34" i="4"/>
  <c r="F26" i="6"/>
  <c r="D23" i="4"/>
  <c r="D35" i="4"/>
  <c r="C61" i="5"/>
  <c r="B37" i="6"/>
  <c r="E27" i="4"/>
  <c r="B38" i="6"/>
  <c r="B40" i="6"/>
  <c r="E23" i="4"/>
  <c r="E35" i="4"/>
  <c r="B39" i="6"/>
  <c r="E11" i="4"/>
  <c r="C60" i="5"/>
  <c r="E7" i="4"/>
  <c r="B32" i="6"/>
  <c r="F27" i="4"/>
  <c r="C38" i="6"/>
  <c r="F23" i="4"/>
  <c r="F35" i="4"/>
  <c r="C39" i="6"/>
  <c r="C40" i="6"/>
  <c r="C32" i="6"/>
  <c r="F7" i="4"/>
  <c r="F11" i="4"/>
  <c r="D60" i="5"/>
  <c r="G27" i="4"/>
  <c r="D38" i="6"/>
  <c r="G11" i="4"/>
  <c r="E60" i="5"/>
  <c r="G7" i="4"/>
  <c r="D32" i="6"/>
  <c r="D39" i="6"/>
  <c r="G23" i="4"/>
  <c r="G35" i="4"/>
  <c r="D40" i="6"/>
  <c r="F60" i="5"/>
  <c r="E32" i="6"/>
  <c r="H7" i="4"/>
  <c r="H11" i="4"/>
  <c r="E38" i="6"/>
  <c r="H27" i="4"/>
  <c r="E39" i="6"/>
  <c r="H23" i="4"/>
  <c r="H35" i="4"/>
  <c r="E40" i="6"/>
  <c r="I11" i="4"/>
  <c r="G60" i="5"/>
  <c r="I7" i="4"/>
  <c r="F32" i="6"/>
  <c r="I23" i="4"/>
  <c r="I35" i="4"/>
  <c r="F39" i="6"/>
  <c r="F38" i="6"/>
  <c r="I27" i="4"/>
  <c r="F40" i="6"/>
  <c r="J10" i="9"/>
  <c r="K10" i="9" s="1"/>
  <c r="L10" i="9" s="1"/>
  <c r="J9" i="9"/>
  <c r="K9" i="9" s="1"/>
  <c r="L9" i="9" s="1"/>
  <c r="J8" i="9"/>
  <c r="K8" i="9" s="1"/>
  <c r="L8" i="9" s="1"/>
  <c r="J7" i="9"/>
  <c r="K7" i="9" s="1"/>
  <c r="L7" i="9" s="1"/>
  <c r="J6" i="9"/>
  <c r="K6" i="9"/>
  <c r="J22" i="9"/>
  <c r="K22" i="9"/>
  <c r="J21" i="9"/>
  <c r="K21" i="9"/>
  <c r="L21" i="9" s="1"/>
  <c r="J20" i="9"/>
  <c r="K20" i="9"/>
  <c r="L20" i="9" s="1"/>
  <c r="J11" i="9"/>
  <c r="K11" i="9"/>
  <c r="J18" i="9"/>
  <c r="K18" i="9"/>
  <c r="J17" i="9"/>
  <c r="K17" i="9" s="1"/>
  <c r="L17" i="9" s="1"/>
  <c r="J23" i="9"/>
  <c r="K23" i="9"/>
  <c r="L23" i="9" s="1"/>
  <c r="J15" i="9"/>
  <c r="K15" i="9" s="1"/>
  <c r="L15" i="9" s="1"/>
  <c r="J19" i="9"/>
  <c r="K19" i="9"/>
  <c r="J14" i="9"/>
  <c r="K14" i="9"/>
  <c r="L14" i="9" s="1"/>
  <c r="J13" i="9"/>
  <c r="K13" i="9"/>
  <c r="L13" i="9" s="1"/>
  <c r="J16" i="9"/>
  <c r="K16" i="9"/>
  <c r="L16" i="9" s="1"/>
  <c r="J12" i="9"/>
  <c r="K12" i="9"/>
  <c r="L6" i="9"/>
  <c r="C26" i="5"/>
  <c r="B10" i="6"/>
  <c r="E29" i="4"/>
  <c r="D18" i="2" s="1"/>
  <c r="E45" i="4"/>
  <c r="D22" i="2" s="1"/>
  <c r="B7" i="6"/>
  <c r="G37" i="4"/>
  <c r="F20" i="2" s="1"/>
  <c r="D11" i="6"/>
  <c r="E26" i="5"/>
  <c r="E28" i="5" s="1"/>
  <c r="G41" i="4"/>
  <c r="F21" i="2" s="1"/>
  <c r="D7" i="6"/>
  <c r="D10" i="6"/>
  <c r="G29" i="4"/>
  <c r="F18" i="2" s="1"/>
  <c r="G45" i="4"/>
  <c r="F22" i="2" s="1"/>
  <c r="I29" i="4"/>
  <c r="H18" i="2" s="1"/>
  <c r="L11" i="9"/>
  <c r="F7" i="6"/>
  <c r="I45" i="4"/>
  <c r="F11" i="6"/>
  <c r="D42" i="4"/>
  <c r="B52" i="5"/>
  <c r="B54" i="5" s="1"/>
  <c r="D50" i="4" s="1"/>
  <c r="C52" i="5"/>
  <c r="E30" i="4"/>
  <c r="E46" i="4"/>
  <c r="H47" i="4"/>
  <c r="B20" i="6"/>
  <c r="E38" i="4"/>
  <c r="C23" i="6"/>
  <c r="D52" i="5"/>
  <c r="L22" i="9"/>
  <c r="F78" i="5"/>
  <c r="F80" i="5" s="1"/>
  <c r="D46" i="4"/>
  <c r="F46" i="4"/>
  <c r="F38" i="4"/>
  <c r="E52" i="5"/>
  <c r="E54" i="5" s="1"/>
  <c r="G30" i="4"/>
  <c r="G42" i="4"/>
  <c r="G46" i="4"/>
  <c r="D24" i="6"/>
  <c r="D20" i="6"/>
  <c r="E78" i="5"/>
  <c r="E80" i="5" s="1"/>
  <c r="D23" i="6"/>
  <c r="H46" i="4"/>
  <c r="H30" i="4"/>
  <c r="E20" i="6"/>
  <c r="E24" i="6"/>
  <c r="I30" i="4"/>
  <c r="F23" i="6"/>
  <c r="F24" i="6"/>
  <c r="I42" i="4"/>
  <c r="F20" i="6"/>
  <c r="I46" i="4"/>
  <c r="F28" i="6"/>
  <c r="D27" i="4"/>
  <c r="L18" i="9"/>
  <c r="D39" i="4"/>
  <c r="G47" i="4"/>
  <c r="G39" i="4"/>
  <c r="D47" i="4"/>
  <c r="B60" i="5"/>
  <c r="D15" i="4" s="1"/>
  <c r="B78" i="5"/>
  <c r="B80" i="5" s="1"/>
  <c r="D51" i="4" s="1"/>
  <c r="D43" i="4"/>
  <c r="F31" i="4"/>
  <c r="F39" i="4"/>
  <c r="F43" i="4"/>
  <c r="B36" i="6"/>
  <c r="E47" i="4"/>
  <c r="C78" i="5"/>
  <c r="B33" i="6"/>
  <c r="L19" i="9"/>
  <c r="F47" i="4"/>
  <c r="D78" i="5"/>
  <c r="B34" i="5"/>
  <c r="D14" i="4" s="1"/>
  <c r="F26" i="5"/>
  <c r="F28" i="5" s="1"/>
  <c r="D30" i="4"/>
  <c r="F36" i="6"/>
  <c r="I47" i="4"/>
  <c r="I31" i="4"/>
  <c r="G78" i="5"/>
  <c r="H29" i="4"/>
  <c r="G18" i="2" s="1"/>
  <c r="L12" i="9"/>
  <c r="D25" i="4"/>
  <c r="C17" i="2" s="1"/>
  <c r="D37" i="4"/>
  <c r="C20" i="2" s="1"/>
  <c r="B9" i="5"/>
  <c r="D17" i="4" s="1"/>
  <c r="C15" i="2" s="1"/>
  <c r="B26" i="5"/>
  <c r="B28" i="5" s="1"/>
  <c r="D49" i="4" s="1"/>
  <c r="C23" i="2" s="1"/>
  <c r="D29" i="4"/>
  <c r="C18" i="2" s="1"/>
  <c r="D45" i="4"/>
  <c r="C22" i="2" s="1"/>
  <c r="F41" i="4"/>
  <c r="E21" i="2" s="1"/>
  <c r="F45" i="4"/>
  <c r="E22" i="2" s="1"/>
  <c r="D26" i="5"/>
  <c r="C15" i="6" s="1"/>
  <c r="F29" i="4"/>
  <c r="E18" i="2" s="1"/>
  <c r="E11" i="6"/>
  <c r="F9" i="5"/>
  <c r="F10" i="6"/>
  <c r="G9" i="5"/>
  <c r="E37" i="6"/>
  <c r="F61" i="5"/>
  <c r="F37" i="6"/>
  <c r="G61" i="5"/>
  <c r="C35" i="6"/>
  <c r="F19" i="4"/>
  <c r="D35" i="6"/>
  <c r="G19" i="4"/>
  <c r="D22" i="6"/>
  <c r="G18" i="4"/>
  <c r="E22" i="6"/>
  <c r="H18" i="4"/>
  <c r="F22" i="6"/>
  <c r="I18" i="4"/>
  <c r="G17" i="4"/>
  <c r="E13" i="4" l="1"/>
  <c r="D14" i="2" s="1"/>
  <c r="B8" i="6"/>
  <c r="E49" i="4"/>
  <c r="D23" i="2" s="1"/>
  <c r="B16" i="6"/>
  <c r="E17" i="4"/>
  <c r="D15" i="2" s="1"/>
  <c r="B9" i="6"/>
  <c r="F17" i="4"/>
  <c r="E15" i="2" s="1"/>
  <c r="C9" i="6"/>
  <c r="F49" i="4"/>
  <c r="E23" i="2" s="1"/>
  <c r="C16" i="6"/>
  <c r="F13" i="4"/>
  <c r="E14" i="2" s="1"/>
  <c r="C8" i="6"/>
  <c r="C10" i="7"/>
  <c r="F17" i="2"/>
  <c r="G49" i="4"/>
  <c r="F23" i="2" s="1"/>
  <c r="D16" i="6"/>
  <c r="G13" i="4"/>
  <c r="F14" i="2" s="1"/>
  <c r="D8" i="6"/>
  <c r="C8" i="7"/>
  <c r="F13" i="2"/>
  <c r="H49" i="4"/>
  <c r="G23" i="2" s="1"/>
  <c r="E16" i="6"/>
  <c r="H13" i="4"/>
  <c r="G14" i="2" s="1"/>
  <c r="E8" i="6"/>
  <c r="D8" i="7"/>
  <c r="G13" i="2"/>
  <c r="D10" i="7"/>
  <c r="G17" i="2"/>
  <c r="F16" i="7"/>
  <c r="D22" i="7"/>
  <c r="F22" i="7" s="1"/>
  <c r="I13" i="4"/>
  <c r="F8" i="6"/>
  <c r="E8" i="7"/>
  <c r="C7" i="2"/>
  <c r="H13" i="2"/>
  <c r="E10" i="7"/>
  <c r="H17" i="2"/>
  <c r="F7" i="2"/>
  <c r="H16" i="2"/>
  <c r="I49" i="4"/>
  <c r="H23" i="2" s="1"/>
  <c r="F16" i="6"/>
  <c r="E18" i="4"/>
  <c r="B22" i="6"/>
  <c r="E14" i="4"/>
  <c r="B21" i="6"/>
  <c r="F14" i="4"/>
  <c r="C21" i="6"/>
  <c r="F18" i="4"/>
  <c r="C22" i="6"/>
  <c r="G14" i="4"/>
  <c r="D21" i="6"/>
  <c r="G50" i="4"/>
  <c r="D29" i="6"/>
  <c r="H50" i="4"/>
  <c r="E29" i="6"/>
  <c r="H14" i="4"/>
  <c r="E21" i="6"/>
  <c r="I14" i="4"/>
  <c r="F21" i="6"/>
  <c r="I50" i="4"/>
  <c r="F29" i="6"/>
  <c r="B35" i="6"/>
  <c r="E19" i="4"/>
  <c r="B34" i="6"/>
  <c r="E15" i="4"/>
  <c r="C34" i="6"/>
  <c r="F15" i="4"/>
  <c r="D34" i="6"/>
  <c r="G15" i="4"/>
  <c r="G51" i="4"/>
  <c r="E34" i="6"/>
  <c r="H15" i="4"/>
  <c r="H51" i="4"/>
  <c r="E42" i="6"/>
  <c r="F34" i="6"/>
  <c r="I15" i="4"/>
  <c r="H22" i="2"/>
  <c r="G7" i="2"/>
  <c r="E28" i="6"/>
  <c r="D28" i="6"/>
  <c r="F15" i="6"/>
  <c r="E15" i="6"/>
  <c r="H17" i="4"/>
  <c r="E9" i="6"/>
  <c r="I17" i="4"/>
  <c r="F9" i="6"/>
  <c r="H19" i="4"/>
  <c r="E35" i="6"/>
  <c r="I19" i="4"/>
  <c r="F35" i="6"/>
  <c r="C9" i="7"/>
  <c r="F15" i="2"/>
  <c r="E41" i="6"/>
  <c r="D41" i="6"/>
  <c r="B3" i="9"/>
  <c r="B15" i="6"/>
  <c r="D15" i="6"/>
  <c r="B28" i="6"/>
  <c r="C54" i="5"/>
  <c r="C28" i="6"/>
  <c r="D54" i="5"/>
  <c r="B41" i="6"/>
  <c r="C80" i="5"/>
  <c r="C41" i="6"/>
  <c r="D80" i="5"/>
  <c r="D42" i="6" s="1"/>
  <c r="F41" i="6"/>
  <c r="G80" i="5"/>
  <c r="C15" i="7" l="1"/>
  <c r="D15" i="7"/>
  <c r="F15" i="7" s="1"/>
  <c r="E15" i="7"/>
  <c r="C13" i="7"/>
  <c r="C20" i="7" s="1"/>
  <c r="D13" i="7"/>
  <c r="E13" i="7"/>
  <c r="E20" i="7" s="1"/>
  <c r="D7" i="2"/>
  <c r="H14" i="2"/>
  <c r="D9" i="7"/>
  <c r="G15" i="2"/>
  <c r="E9" i="7"/>
  <c r="E7" i="2"/>
  <c r="H15" i="2"/>
  <c r="C14" i="7"/>
  <c r="D14" i="7"/>
  <c r="F14" i="7" s="1"/>
  <c r="E14" i="7"/>
  <c r="B29" i="6"/>
  <c r="E50" i="4"/>
  <c r="C29" i="6"/>
  <c r="F50" i="4"/>
  <c r="E51" i="4"/>
  <c r="B42" i="6"/>
  <c r="C42" i="6"/>
  <c r="F51" i="4"/>
  <c r="F42" i="6"/>
  <c r="I51" i="4"/>
  <c r="D20" i="7" l="1"/>
  <c r="F13" i="7"/>
  <c r="C21" i="7"/>
  <c r="C23" i="7" s="1"/>
  <c r="E21" i="7"/>
  <c r="E23" i="7" s="1"/>
  <c r="D21" i="7" l="1"/>
  <c r="F20" i="7"/>
  <c r="C24" i="7"/>
  <c r="C25" i="7"/>
  <c r="C26" i="7" s="1"/>
  <c r="E24" i="7"/>
  <c r="E25" i="7"/>
  <c r="E26" i="7" s="1"/>
  <c r="F21" i="7" l="1"/>
  <c r="D23" i="7"/>
  <c r="F23" i="7" l="1"/>
  <c r="D24" i="7"/>
  <c r="F24" i="7" l="1"/>
  <c r="D25" i="7"/>
  <c r="D26" i="7" l="1"/>
  <c r="F26" i="7" s="1"/>
  <c r="F25" i="7"/>
</calcChain>
</file>

<file path=xl/sharedStrings.xml><?xml version="1.0" encoding="utf-8"?>
<sst xmlns="http://schemas.openxmlformats.org/spreadsheetml/2006/main" count="2226" uniqueCount="311">
  <si>
    <t>Map: each company's wording -&gt; one standard line item</t>
  </si>
  <si>
    <t>The three companies name the same thing differently (e.g. 'Revenue' vs 'Sales'). The Data sheet looks up each row here with XLOOKUP.</t>
  </si>
  <si>
    <t>Map key</t>
  </si>
  <si>
    <t>Company</t>
  </si>
  <si>
    <t>Line item as reported</t>
  </si>
  <si>
    <t>Standard line item</t>
  </si>
  <si>
    <t>Statement</t>
  </si>
  <si>
    <t>Note</t>
  </si>
  <si>
    <t>Loblaw</t>
  </si>
  <si>
    <t>Revenue</t>
  </si>
  <si>
    <t>IS</t>
  </si>
  <si>
    <t>Cost of merchandise inventories sold</t>
  </si>
  <si>
    <t>Cost of sales</t>
  </si>
  <si>
    <t>Net interest expense and other financing charges</t>
  </si>
  <si>
    <t>Net finance costs</t>
  </si>
  <si>
    <t>Earnings before income taxes</t>
  </si>
  <si>
    <t>Income taxes</t>
  </si>
  <si>
    <t>No discontinued operations</t>
  </si>
  <si>
    <t>Net earnings from discontinued operations</t>
  </si>
  <si>
    <t>Entered as 0 so every company-year has the same 19 line items.</t>
  </si>
  <si>
    <t>Net earnings</t>
  </si>
  <si>
    <t>Shareholders of the Company</t>
  </si>
  <si>
    <t>Net earnings attributable to shareholders</t>
  </si>
  <si>
    <t>Inventories</t>
  </si>
  <si>
    <t>BS</t>
  </si>
  <si>
    <t>Total current assets</t>
  </si>
  <si>
    <t>Total assets</t>
  </si>
  <si>
    <t>Total current liabilities</t>
  </si>
  <si>
    <t>Total liabilities</t>
  </si>
  <si>
    <t>Total equity</t>
  </si>
  <si>
    <t>Total equity attributable to shareholders of the Company</t>
  </si>
  <si>
    <t>Equity attributable to shareholders</t>
  </si>
  <si>
    <t>Cash flows from operating activities</t>
  </si>
  <si>
    <t>Cash from operating activities</t>
  </si>
  <si>
    <t>CF</t>
  </si>
  <si>
    <t>Fixed asset purchases</t>
  </si>
  <si>
    <t>Purchases of fixed assets</t>
  </si>
  <si>
    <t>Intangible asset additions</t>
  </si>
  <si>
    <t>Purchases of intangible assets</t>
  </si>
  <si>
    <t>Cash rent paid on lease liabilities - Principal</t>
  </si>
  <si>
    <t>Lease principal payments</t>
  </si>
  <si>
    <t>PC Financial (Loblaw's bank) is shown as discontinued operations from FY2024 (restated in the 2025 report).</t>
  </si>
  <si>
    <t>Metro</t>
  </si>
  <si>
    <t>Sales</t>
  </si>
  <si>
    <t>Cost of sales (note 4)</t>
  </si>
  <si>
    <t>Metro's 2021 income statement combines cost of sales with operating expenses; cost of sales is taken from note 4.</t>
  </si>
  <si>
    <t>Financial costs, net</t>
  </si>
  <si>
    <t>Equity holders of the parent</t>
  </si>
  <si>
    <t>Current assets (unlabelled subtotal)</t>
  </si>
  <si>
    <t>Total assets (unlabelled subtotal)</t>
  </si>
  <si>
    <t>Current liabilities (unlabelled subtotal)</t>
  </si>
  <si>
    <t>Total liabilities (unlabelled subtotal)</t>
  </si>
  <si>
    <t>Total equity (unlabelled subtotal)</t>
  </si>
  <si>
    <t>Attributable to equity holders of the parent</t>
  </si>
  <si>
    <t>Operating activities (unlabelled subtotal)</t>
  </si>
  <si>
    <t>Additions to fixed assets and investment properties</t>
  </si>
  <si>
    <t>Additions to intangible assets</t>
  </si>
  <si>
    <t>Payment of lease liabilities (principal)</t>
  </si>
  <si>
    <t>Net financial costs</t>
  </si>
  <si>
    <t>Additions to fixed assets</t>
  </si>
  <si>
    <t>Additions to intangible assets and goodwill</t>
  </si>
  <si>
    <t>Empire</t>
  </si>
  <si>
    <t>Finance costs, net</t>
  </si>
  <si>
    <t>Income tax expense</t>
  </si>
  <si>
    <t>Owners of the Company</t>
  </si>
  <si>
    <t>Shareholders' equity before non-controlling interest (unlabelled subtotal)</t>
  </si>
  <si>
    <t>Property, equipment and investment property purchases</t>
  </si>
  <si>
    <t>Additions to intangibles</t>
  </si>
  <si>
    <t>Payments of lease liabilities (principal portion)</t>
  </si>
  <si>
    <t>Intangible purchases</t>
  </si>
  <si>
    <t>Total equity attributable to Owners of the Company</t>
  </si>
  <si>
    <t>Periods: fiscal years, 53-week years and company-reported gross margins</t>
  </si>
  <si>
    <t>Fiscal years end in different months, and some years have 53 weeks instead of 52.</t>
  </si>
  <si>
    <t>Key</t>
  </si>
  <si>
    <t>Fiscal year</t>
  </si>
  <si>
    <t>Period end</t>
  </si>
  <si>
    <t>Weeks</t>
  </si>
  <si>
    <t>Company-reported gross margin</t>
  </si>
  <si>
    <t>Source of reported margin</t>
  </si>
  <si>
    <t>Gross margin gap explained</t>
  </si>
  <si>
    <t>LCL 2021 AR, MD&amp;A: adjusted gross profit % of 30.7% in 2021 was up 120 bp on 2020</t>
  </si>
  <si>
    <t>Loblaw's own figure excludes PC Financial; ours uses consolidated revenue, which includes it.</t>
  </si>
  <si>
    <t>53-week year. Consolidated revenue includes PC Financial (bank).</t>
  </si>
  <si>
    <t>LCL 2021 AR, MD&amp;A: adjusted gross profit % of 30.7%</t>
  </si>
  <si>
    <t>Consolidated revenue includes PC Financial.</t>
  </si>
  <si>
    <t>LCL 2023 AR, MD&amp;A: 31.0% in 2023, up 10 bp on 2022</t>
  </si>
  <si>
    <t>LCL 2023 AR, MD&amp;A: gross profit % of 31.0%</t>
  </si>
  <si>
    <t>LCL 2025 AR, MD&amp;A: 31.3% in 2025, flat on 2024</t>
  </si>
  <si>
    <t>Restated in the 2025 report: PC Financial is discontinued operations, so revenue and costs exclude it.</t>
  </si>
  <si>
    <t>LCL 2025 AR, MD&amp;A: gross profit % of 31.3%</t>
  </si>
  <si>
    <t>53-week year. PC Financial held for sale: its assets and liabilities sit in current assets and current liabilities.</t>
  </si>
  <si>
    <t>Metro 2021 AR, MD&amp;A: 20.0% for Fiscal 2021 versus 19.9% for 2020</t>
  </si>
  <si>
    <t>Cost of sales from note 4.</t>
  </si>
  <si>
    <t>Metro 2021 AR, MD&amp;A: gross margin of 20.0%</t>
  </si>
  <si>
    <t>Metro 2023 AR, MD&amp;A: 19.7% for Fiscal 2023 versus 20.0% in 2022</t>
  </si>
  <si>
    <t>Metro 2023 AR, MD&amp;A: gross margin of 19.7%</t>
  </si>
  <si>
    <t>53-week year.</t>
  </si>
  <si>
    <t>Metro 2025 AR, MD&amp;A: 19.9% for Fiscal 2025 versus 19.7% for 2024</t>
  </si>
  <si>
    <t>Metro 2025 AR, MD&amp;A: gross margin of 19.9%</t>
  </si>
  <si>
    <t>Empire 2021 AR, MD&amp;A: gross margin 25.5% (2021) and 24.9% (2020)</t>
  </si>
  <si>
    <t>Empire 2021 AR, MD&amp;A: gross margin of 25.5%</t>
  </si>
  <si>
    <t>Empire 2023 AR, MD&amp;A: increased to 25.6% from 25.4%</t>
  </si>
  <si>
    <t>53-week year. Acquired Longo's on May 10, 2021.</t>
  </si>
  <si>
    <t>Empire 2023 AR, MD&amp;A: gross margin of 25.6%</t>
  </si>
  <si>
    <t>Cybersecurity Event during the year (the company adjusted out $45.8m of costs).</t>
  </si>
  <si>
    <t>Empire 2025 AR, MD&amp;A: increased to 26.8% from 26.3%</t>
  </si>
  <si>
    <t>Empire 2025 AR, MD&amp;A: gross margin of 26.8%</t>
  </si>
  <si>
    <t>Data: line items from the annual reports</t>
  </si>
  <si>
    <t>One row per number. Amounts in millions of Canadian dollars; costs and cash outflows are positive. Blue numbers are typed in from the reports; 'Map key' and 'Standard line item' are formulas.</t>
  </si>
  <si>
    <t>Amount</t>
  </si>
  <si>
    <t>Source document</t>
  </si>
  <si>
    <t>PDF page</t>
  </si>
  <si>
    <t>LCL_2021_AR.pdf</t>
  </si>
  <si>
    <t>LCL_2023_AR.pdf</t>
  </si>
  <si>
    <t>LCL_2025_AR.pdf</t>
  </si>
  <si>
    <t>metro_2021_AR.pdf</t>
  </si>
  <si>
    <t>metro_2023_AR.pdf</t>
  </si>
  <si>
    <t>metro_2025_AR.pdf</t>
  </si>
  <si>
    <t>empire_2021_AR.pdf</t>
  </si>
  <si>
    <t>empire_2023_AR.pdf</t>
  </si>
  <si>
    <t>empire_2025_AR.pdf</t>
  </si>
  <si>
    <t>Model: the 19 standard line items for each company, plus a few derived lines</t>
  </si>
  <si>
    <t>Each white cell is a SUMIFS on the Data table; italic rows are calculated from the rows above.</t>
  </si>
  <si>
    <t>C$ millions</t>
  </si>
  <si>
    <t>Gross profit</t>
  </si>
  <si>
    <t>Operating income (EBIT)</t>
  </si>
  <si>
    <t>Capital expenditures</t>
  </si>
  <si>
    <t>Free cash flow after leases</t>
  </si>
  <si>
    <t>Weeks in fiscal year</t>
  </si>
  <si>
    <t>Ratios: 12 ratios x 3 companies x 6 fiscal years</t>
  </si>
  <si>
    <t>Every number is a formula on the Model sheet. Balance sheet ratios use year-end balances.</t>
  </si>
  <si>
    <t>Ratio</t>
  </si>
  <si>
    <t>How it is calculated</t>
  </si>
  <si>
    <t>Revenue growth (reported)</t>
  </si>
  <si>
    <t>Revenue / last year's revenue - 1</t>
  </si>
  <si>
    <t>n/a</t>
  </si>
  <si>
    <t>Revenue growth (per week)</t>
  </si>
  <si>
    <t>Same, using revenue per week, so 53-week years do not inflate growth</t>
  </si>
  <si>
    <t>Gross margin</t>
  </si>
  <si>
    <t>(Revenue - cost of sales) / revenue</t>
  </si>
  <si>
    <t>Operating (EBIT) margin</t>
  </si>
  <si>
    <t>(Earnings before income taxes + net finance costs) / revenue</t>
  </si>
  <si>
    <t>Net margin</t>
  </si>
  <si>
    <t>Net earnings / revenue</t>
  </si>
  <si>
    <t>Effective tax rate</t>
  </si>
  <si>
    <t>Income taxes / earnings before taxes</t>
  </si>
  <si>
    <t>Return on equity (ROE)</t>
  </si>
  <si>
    <t>Net earnings to shareholders / shareholders' equity at year end</t>
  </si>
  <si>
    <t>Return on assets (ROA)</t>
  </si>
  <si>
    <t>Net earnings / total assets at year end</t>
  </si>
  <si>
    <t>Current ratio</t>
  </si>
  <si>
    <t>Current assets / current liabilities</t>
  </si>
  <si>
    <t>Liabilities-to-equity</t>
  </si>
  <si>
    <t>Total liabilities / total equity</t>
  </si>
  <si>
    <t>Days inventory</t>
  </si>
  <si>
    <t>Inventory / cost of sales x days in the fiscal year</t>
  </si>
  <si>
    <t>FCF margin (after leases)</t>
  </si>
  <si>
    <t>(Operating cash flow - capex - lease principal) / revenue</t>
  </si>
  <si>
    <t>YoY: year-over-year change in the main lines</t>
  </si>
  <si>
    <t>Changes of 10% or more are highlighted. Red = decrease. Notes on the biggest changes are below the table.</t>
  </si>
  <si>
    <t>% change vs prior year</t>
  </si>
  <si>
    <t>What the annual reports say about the biggest changes</t>
  </si>
  <si>
    <t>Company, year and change</t>
  </si>
  <si>
    <t>What the report says</t>
  </si>
  <si>
    <t>Source</t>
  </si>
  <si>
    <t>Loblaw FY2021: Net earnings +65.8%</t>
  </si>
  <si>
    <t>Net interest expense fell by $247m, mainly from a recovery related to Glenhuron (a tax case), lower lease interest and lower Financial Services interest. Adjusted gross profit % rose 120 bp on a better sales mix.</t>
  </si>
  <si>
    <t>LCL 2021 AR, MD&amp;A</t>
  </si>
  <si>
    <t>Loblaw FY2024: Revenue growth +1.0%</t>
  </si>
  <si>
    <t>Not like-for-like: FY2024 (restated in the 2025 report) excludes PC Financial, which had about $891m of revenue in 2024, while FY2023 includes it.</t>
  </si>
  <si>
    <t>LCL 2025 AR, MD&amp;A (Discontinued Operations)</t>
  </si>
  <si>
    <t>Loblaw FY2025: Revenue +6.3%</t>
  </si>
  <si>
    <t>FY2025 had 53 weeks. Revenue per week grew 4.3%. The company says the 53rd week added $106m to adjusted EBITDA.</t>
  </si>
  <si>
    <t>LCL 2025 AR, MD&amp;A</t>
  </si>
  <si>
    <t>Metro FY2023: Sales +9.7%</t>
  </si>
  <si>
    <t>FY2023 had 53 weeks; sales per week grew 7.6%, Metro's fastest in the six years, during a period of high food inflation.</t>
  </si>
  <si>
    <t>Metro 2023 AR; Periods sheet</t>
  </si>
  <si>
    <t>Metro FY2023: Gross margin 19.7% (from 20.0%)</t>
  </si>
  <si>
    <t>Q4 gross profit was hit by $36.3m of estimated lost profits and direct costs from a labour conflict at 27 Metro stores in the Greater Toronto Area.</t>
  </si>
  <si>
    <t>Metro 2023 AR, MD&amp;A</t>
  </si>
  <si>
    <t>Empire FY2022: Sales +6.7%</t>
  </si>
  <si>
    <t>FY2022 had 53 weeks and included Longo's, acquired on May 10, 2021 (business acquisitions of $242.0m in the cash flow statement).</t>
  </si>
  <si>
    <t>Empire 2023 AR</t>
  </si>
  <si>
    <t>Empire FY2023: Operating income -9.6%</t>
  </si>
  <si>
    <t>Higher selling and administrative costs from Project Horizon investments (Voila, Farm Boy, FreshCo), higher depreciation and a Cybersecurity Event ($45.8m adjusted out by the company), plus $47.0m of lease termination gains in the prior year that did not repeat.</t>
  </si>
  <si>
    <t>Empire 2023 AR, MD&amp;A</t>
  </si>
  <si>
    <t>Empire FY2025: Gross margin 26.8% (from 26.3%)</t>
  </si>
  <si>
    <t>Better results in Full-Service banners (shrink and promotions), lower distribution costs from supply chain efficiency, and lower fuel sales (fuel has a low margin).</t>
  </si>
  <si>
    <t>Empire 2025 AR, MD&amp;A</t>
  </si>
  <si>
    <t>Checks: does every company-year tie out?</t>
  </si>
  <si>
    <t>Each row runs 6 checks. A row passes only if all of them pass.</t>
  </si>
  <si>
    <t>Overall:</t>
  </si>
  <si>
    <t>Line items found (should be 19)</t>
  </si>
  <si>
    <t>Unmapped lines (should be 0)</t>
  </si>
  <si>
    <t>Assets - (liabilities + equity) (should be 0)</t>
  </si>
  <si>
    <t>EBT - taxes + discontinued - net earnings (should be 0)</t>
  </si>
  <si>
    <t>Attributable &lt;= total net earnings</t>
  </si>
  <si>
    <t>Gross margin (our calculation)</t>
  </si>
  <si>
    <t>Gross margin (company-reported)</t>
  </si>
  <si>
    <t>Difference</t>
  </si>
  <si>
    <t>Gross margin check</t>
  </si>
  <si>
    <t>Row status</t>
  </si>
  <si>
    <t>How to read this sheet</t>
  </si>
  <si>
    <t>1. Line items found: every company-year should have the same 19 standard line items.</t>
  </si>
  <si>
    <t>2. Unmapped lines: a line item whose wording is missing from the Map sheet would show as UNMAPPED.</t>
  </si>
  <si>
    <t>3. Balance sheet: total assets must equal total liabilities plus total equity.</t>
  </si>
  <si>
    <t>4. Income statement: earnings before taxes - taxes + discontinued operations must equal net earnings.</t>
  </si>
  <si>
    <t>5. Net earnings attributable to shareholders cannot be larger than total net earnings.</t>
  </si>
  <si>
    <t>6. Gross margin: our calculation must match the gross margin the company reports in its MD&amp;A (rounded to 0.1%). Loblaw FY2020-FY2023 differ by about 1 point because Loblaw's own figure leaves out PC Financial (its bank) while consolidated revenue includes it; from FY2024 PC Financial is excluded from both, and the figures match.</t>
  </si>
  <si>
    <t>Separately, every one of the 326 typed-in amounts was checked against the text of the report page cited in the Data sheet.</t>
  </si>
  <si>
    <t>Forecast: a simple FY2026 projection under three scenarios</t>
  </si>
  <si>
    <t>Pick a company and a scenario (yellow cells). Assumptions come from the last three fiscal years.</t>
  </si>
  <si>
    <t>Scenario</t>
  </si>
  <si>
    <t>Base</t>
  </si>
  <si>
    <t>History (from the Ratios sheet)</t>
  </si>
  <si>
    <t>Assumption</t>
  </si>
  <si>
    <t>Low</t>
  </si>
  <si>
    <t>High</t>
  </si>
  <si>
    <t>Selected</t>
  </si>
  <si>
    <t>Net finance costs (C$m, FY2025 level)</t>
  </si>
  <si>
    <t>FY2026 forecast (52 weeks), C$m</t>
  </si>
  <si>
    <t>Starting point: FY2025 revenue on a 52-week basis</t>
  </si>
  <si>
    <t>For comparison, FY2025 actual net earnings from continuing operations (C$m):</t>
  </si>
  <si>
    <t>How it works: Low uses the weakest of the last three years for each driver, Base the average, High the strongest (for taxes, Low uses the highest rate).</t>
  </si>
  <si>
    <t>Revenue growth uses revenue per week, so a 53-week year does not inflate the starting point or the growth rate.</t>
  </si>
  <si>
    <t>Limitations: Loblaw's FY2024 growth is understated because PC Financial was moved out of revenue that year; finance costs are held at the FY2025 level. This is a learning model, not investment advice.</t>
  </si>
  <si>
    <t>Canadian grocers dashboard: Loblaw, Metro and Empire, FY2020-FY2025</t>
  </si>
  <si>
    <t>Source: audited annual reports. C$ millions unless stated. Change the yellow cell to switch company.</t>
  </si>
  <si>
    <t>Company:</t>
  </si>
  <si>
    <t>Revenue FY2025</t>
  </si>
  <si>
    <t>FY2025</t>
  </si>
  <si>
    <t>EBIT margin</t>
  </si>
  <si>
    <t>Pivot: summarise the Data table with pivot tables and slicers</t>
  </si>
  <si>
    <t>Click the slicer buttons to change the year or the line item. Right-click a pivot &gt; Refresh after changing the Data sheet.</t>
  </si>
  <si>
    <t>Amount (C$ m)</t>
  </si>
  <si>
    <t>Line item</t>
  </si>
  <si>
    <t>How profitable are Canada's big three grocers? Loblaw, Metro and Empire, FY2020-FY2025</t>
  </si>
  <si>
    <t>An Excel analysis of six years of audited financial statements, built by Duoming Yuan (October 2026).</t>
  </si>
  <si>
    <t>Question</t>
  </si>
  <si>
    <t>Did the three big Canadian grocers earn higher margins during the 2022-2023 food inflation, and how do they compare on profitability, efficiency and cash flow?</t>
  </si>
  <si>
    <t>Companies</t>
  </si>
  <si>
    <t>Loblaw Companies (Loblaws, No Frills, Real Canadian Superstore, T&amp;T, Shoppers Drug Mart); Metro Inc. (Metro, Food Basics, Super C, Jean Coutu); Empire Company (Sobeys, Safeway, IGA, FreshCo, Farm Boy, Longo's).</t>
  </si>
  <si>
    <t>Data</t>
  </si>
  <si>
    <t>19 line items x 3 companies x 6 fiscal years = 342 numbers, typed in from nine annual reports and checked against the report text.</t>
  </si>
  <si>
    <t>Units</t>
  </si>
  <si>
    <t>Millions of Canadian dollars. Costs and cash outflows are shown as positive numbers.</t>
  </si>
  <si>
    <t>Fiscal years</t>
  </si>
  <si>
    <t>Loblaw's year ends around 31 December, Metro's in late September and Empire's in early May, so 'FY2023' covers different months for each. Some years have 53 weeks (see Periods).</t>
  </si>
  <si>
    <t>Colour code</t>
  </si>
  <si>
    <t>Blue numbers are typed-in inputs; black numbers are formulas; yellow cells are drop-downs.</t>
  </si>
  <si>
    <t>Sheets</t>
  </si>
  <si>
    <t>Dashboard</t>
  </si>
  <si>
    <t>Key figures, a ratio table and charts; pick a company from the drop-down.</t>
  </si>
  <si>
    <t>Findings</t>
  </si>
  <si>
    <t>What the numbers show, and the limits of the data.</t>
  </si>
  <si>
    <t>Ratios</t>
  </si>
  <si>
    <t>12 ratios for each company and year.</t>
  </si>
  <si>
    <t>Model</t>
  </si>
  <si>
    <t>The standard line items for each company, pulled from Data with SUMIFS.</t>
  </si>
  <si>
    <t>YoY</t>
  </si>
  <si>
    <t>Year-over-year changes, with explanations from the annual reports.</t>
  </si>
  <si>
    <t>Forecast</t>
  </si>
  <si>
    <t>A simple FY2026 projection under low, base and high scenarios.</t>
  </si>
  <si>
    <t>Pivot</t>
  </si>
  <si>
    <t>Pivot tables and slicers on the Data table.</t>
  </si>
  <si>
    <t>Checks</t>
  </si>
  <si>
    <t>Tie-out checks: balance sheets balance, earnings add up, gross margins match what the companies report.</t>
  </si>
  <si>
    <t>Every number with its source document and page.</t>
  </si>
  <si>
    <t>Map</t>
  </si>
  <si>
    <t>How each company's wording maps to a standard line item (used by XLOOKUP).</t>
  </si>
  <si>
    <t>Periods</t>
  </si>
  <si>
    <t>Fiscal year ends, 53-week years and company-reported gross margins.</t>
  </si>
  <si>
    <t>Sources</t>
  </si>
  <si>
    <t>Loblaw Companies Limited</t>
  </si>
  <si>
    <t>2021, 2023 and 2025 Annual Reports - Financial Review</t>
  </si>
  <si>
    <t>https://www.loblaw.ca/en/investors-reports</t>
  </si>
  <si>
    <t>Metro Inc.</t>
  </si>
  <si>
    <t>2021, 2023 and 2025 Annual Reports</t>
  </si>
  <si>
    <t>https://www.corpo.metro.ca/en/investor-relations/financial-information/annual-reports.html</t>
  </si>
  <si>
    <t>Empire Company Limited</t>
  </si>
  <si>
    <t>https://www.empireco.ca/annual-documents</t>
  </si>
  <si>
    <t>Findings: what six years of financial statements show</t>
  </si>
  <si>
    <t>All numbers come from the Ratios and Model sheets.</t>
  </si>
  <si>
    <t>Short answer: no sign of a big margin jump. Between FY2021 and FY2023, when food inflation was highest, gross margins moved by about half a point or less and net margins stayed between 2.4% and 4.9%. Profits in dollars rose mainly because sales rose.</t>
  </si>
  <si>
    <t>Key findings</t>
  </si>
  <si>
    <t>Margins barely moved during the inflation years.</t>
  </si>
  <si>
    <t>Gross margin FY2021 -&gt; FY2023: Loblaw 31.5% -&gt; 32.0% (Loblaw's own measure, which leaves out its bank: 30.7% -&gt; 31.0%), Metro 20.0% -&gt; 19.7%, Empire 25.5% -&gt; 25.6%. Net margin: Loblaw 3.7% -&gt; 3.7%, Metro 4.5% -&gt; 4.9% (FY2023 had 53 weeks), Empire 2.7% -&gt; 2.4%. Net earnings changed by +11% (Loblaw), +23% (Metro) and -5% (Empire).</t>
  </si>
  <si>
    <t>Grocers keep only a few cents of each sales dollar.</t>
  </si>
  <si>
    <t>In FY2025 net margin was 4.3% at Loblaw, 4.6% at Metro and 2.4% at Empire: roughly 2 to 5 cents of profit per dollar of sales.</t>
  </si>
  <si>
    <t>Three different business models.</t>
  </si>
  <si>
    <t>Loblaw has the highest gross margin (31.3% in FY2025), which fits its large pharmacy and beauty business (Shoppers Drug Mart), but also the highest costs. Metro has the lowest gross margin (19.9%) yet an operating margin of 6.7%, close to Loblaw's 6.9% and well above Empire's 4.1%, so it runs with the lowest costs relative to sales.</t>
  </si>
  <si>
    <t>Empire's gross margin gains were absorbed by higher costs.</t>
  </si>
  <si>
    <t>Empire's gross margin rose from 24.9% (FY2020) to 26.8% (FY2025), +1.9 points, but its operating margin went from 4.2% to 4.1%. The FY2023 report links higher costs to Project Horizon investments (Voila, Farm Boy, FreshCo) and a cybersecurity incident.</t>
  </si>
  <si>
    <t>Stock moves fastest at Empire and slowest at Loblaw.</t>
  </si>
  <si>
    <t>Days inventory in FY2025: Empire 29, Metro 33, Loblaw 55. Loblaw's longer figure likely reflects drugstore and general merchandise, which sell more slowly than fresh food.</t>
  </si>
  <si>
    <t>Leases matter for cash flow.</t>
  </si>
  <si>
    <t>Under IFRS 16, lease payments sit in financing cash flow, so operating cash flow looks bigger. Loblaw paid $1.3bn of lease principal in FY2025, about 20% of its operating cash flow. After capex and leases, free cash flow was 4.6% of sales at Loblaw, 4.2% at Metro and 2.6% at Empire.</t>
  </si>
  <si>
    <t>Loblaw's return on equity more than doubled, helped by buybacks.</t>
  </si>
  <si>
    <t>Loblaw's ROE rose from 10.1% (FY2020) to 24.2% (FY2025). Earnings to shareholders went from $1.1bn to $2.7bn, while shareholders' equity stayed near $11.0bn because the company kept buying back shares ($1.9bn in FY2025).</t>
  </si>
  <si>
    <t>Limits of this analysis</t>
  </si>
  <si>
    <t>-</t>
  </si>
  <si>
    <t>Fiscal years end in different months (Loblaw around December, Metro in September, Empire in May), so the same 'FY' label covers different periods.</t>
  </si>
  <si>
    <t>Loblaw FY2020-FY2023 include PC Financial (its bank) in revenue and costs; FY2024-FY2025 do not, because the 2025 report restated FY2024 when PC Financial was put up for sale. This lowers Loblaw's FY2024 growth and gross margin. At the end of FY2025, PC Financial's assets and liabilities are in current items, which affects the current ratio.</t>
  </si>
  <si>
    <t>Some years have 53 weeks (Loblaw FY2020 and FY2025, Metro FY2023, Empire FY2022). The per-week growth ratio corrects for this; other ratios do not need it.</t>
  </si>
  <si>
    <t>The figures are for whole companies, so they include pharmacy, fuel and wholesale sales, not just grocery.</t>
  </si>
  <si>
    <t>Balance sheet ratios use year-end balances rather than averages.</t>
  </si>
  <si>
    <t>Margins are company-wide. They cannot show whether prices of particular foods rose faster than their costs.</t>
  </si>
  <si>
    <t>What I would do next</t>
  </si>
  <si>
    <t>Compare the forecast for Empire FY2026 with Empire's actual FY2026 results (its 2026 annual report is out).</t>
  </si>
  <si>
    <t>Add Costco and Walmart Canada if comparable Canadian figures can be found.</t>
  </si>
  <si>
    <t>Use segment notes to separate food retail from pharmacy at Loblaw and Metro.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</si>
</sst>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yyyy\-mm\-dd"/>
    <numFmt numFmtId="177" formatCode="0.0%"/>
    <numFmt numFmtId="178" formatCode="#,##0.0"/>
    <numFmt numFmtId="179" formatCode="&quot;FY&quot;0"/>
    <numFmt numFmtId="180" formatCode="#,##0.0;\(#,##0.0\)"/>
    <numFmt numFmtId="181" formatCode="0.00&quot;x&quot;"/>
    <numFmt numFmtId="182" formatCode="0.0"/>
    <numFmt numFmtId="183" formatCode="\+0.0%;\-0.0%;0.0%"/>
    <numFmt numFmtId="184" formatCode="\+0.00%;\-0.00%;0.00%"/>
    <numFmt numFmtId="185" formatCode="&quot;$&quot;0.0&quot;bn&quot;"/>
    <numFmt numFmtId="186" formatCode="\+0.0%;\-0.0%"/>
    <numFmt numFmtId="187" formatCode="0.0&quot; days&quot;"/>
  </numFmts>
  <fonts count="24" x14ac:knownFonts="1">
    <font>
      <sz val="11"/>
      <color theme="1"/>
      <name val="Calibri"/>
      <family val="2"/>
    </font>
    <font>
      <b/>
      <sz val="16"/>
      <color rgb="FF1F3864"/>
      <name val="Calibri"/>
      <family val="2"/>
    </font>
    <font>
      <sz val="11"/>
      <color rgb="FF6E6E6E"/>
      <name val="Calibri"/>
      <family val="2"/>
    </font>
    <font>
      <i/>
      <sz val="11"/>
      <color rgb="FF6E6E6E"/>
      <name val="Calibri"/>
      <family val="2"/>
    </font>
    <font>
      <sz val="9"/>
      <name val="宋体"/>
      <family val="3"/>
      <charset val="134"/>
    </font>
    <font>
      <sz val="11"/>
      <color rgb="FF0046BE"/>
      <name val="Calibri"/>
      <family val="2"/>
    </font>
    <font>
      <b/>
      <sz val="11"/>
      <color theme="1"/>
      <name val="Calibri"/>
      <family val="2"/>
    </font>
    <font>
      <b/>
      <sz val="11"/>
      <color rgb="FFFFFFFF"/>
      <name val="Calibri"/>
      <family val="2"/>
    </font>
    <font>
      <b/>
      <sz val="11"/>
      <color rgb="FFD62728"/>
      <name val="Calibri"/>
      <family val="2"/>
    </font>
    <font>
      <i/>
      <sz val="11"/>
      <color theme="1"/>
      <name val="Calibri"/>
      <family val="2"/>
    </font>
    <font>
      <b/>
      <sz val="11"/>
      <color rgb="FF1F77B4"/>
      <name val="Calibri"/>
      <family val="2"/>
    </font>
    <font>
      <b/>
      <sz val="11"/>
      <color rgb="FF2CA02C"/>
      <name val="Calibri"/>
      <family val="2"/>
    </font>
    <font>
      <sz val="11"/>
      <color rgb="FFD62728"/>
      <name val="Calibri"/>
      <family val="2"/>
    </font>
    <font>
      <sz val="11"/>
      <color rgb="FF1F77B4"/>
      <name val="Calibri"/>
      <family val="2"/>
    </font>
    <font>
      <sz val="11"/>
      <color rgb="FF2CA02C"/>
      <name val="Calibri"/>
      <family val="2"/>
    </font>
    <font>
      <b/>
      <sz val="16"/>
      <color rgb="FF6E6E6E"/>
      <name val="Calibri"/>
      <family val="2"/>
    </font>
    <font>
      <b/>
      <sz val="11"/>
      <color rgb="FF6E6E6E"/>
      <name val="Calibri"/>
      <family val="2"/>
    </font>
    <font>
      <b/>
      <sz val="13"/>
      <color theme="1"/>
      <name val="Calibri"/>
      <family val="2"/>
    </font>
    <font>
      <b/>
      <sz val="18"/>
      <color rgb="FF1F3864"/>
      <name val="Calibri"/>
      <family val="2"/>
    </font>
    <font>
      <u/>
      <sz val="11"/>
      <color theme="10"/>
      <name val="Calibri"/>
      <family val="2"/>
    </font>
    <font>
      <b/>
      <sz val="12"/>
      <color rgb="FF1F3864"/>
      <name val="Calibri"/>
      <family val="2"/>
    </font>
    <font>
      <sz val="11"/>
      <color rgb="FF1F3864"/>
      <name val="Calibri"/>
      <family val="2"/>
    </font>
    <font>
      <b/>
      <sz val="13"/>
      <color rgb="FF1F3864"/>
      <name val="Calibri"/>
      <family val="2"/>
    </font>
    <font>
      <b/>
      <sz val="11"/>
      <color rgb="FF1F3864"/>
      <name val="Calibri"/>
      <family val="2"/>
    </font>
  </fonts>
  <fills count="5">
    <fill>
      <patternFill patternType="none"/>
    </fill>
    <fill>
      <patternFill patternType="gray125"/>
    </fill>
    <fill>
      <patternFill patternType="solid">
        <fgColor rgb="FFFFEB9C"/>
        <bgColor indexed="64"/>
      </patternFill>
    </fill>
    <fill>
      <patternFill patternType="solid">
        <fgColor rgb="FF2E7584"/>
        <bgColor indexed="64"/>
      </patternFill>
    </fill>
    <fill>
      <patternFill patternType="solid">
        <fgColor rgb="FFE8F0F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9" fillId="0" borderId="0" applyNumberFormat="0" applyFill="0" applyBorder="0" applyAlignment="0" applyProtection="0">
      <alignment vertical="center"/>
    </xf>
  </cellStyleXfs>
  <cellXfs count="7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Alignment="1">
      <alignment vertical="center" wrapText="1"/>
    </xf>
    <xf numFmtId="177" fontId="0" fillId="0" borderId="0" xfId="0" applyNumberFormat="1">
      <alignment vertical="center"/>
    </xf>
    <xf numFmtId="176" fontId="5" fillId="0" borderId="0" xfId="0" applyNumberFormat="1" applyFont="1">
      <alignment vertical="center"/>
    </xf>
    <xf numFmtId="0" fontId="5" fillId="0" borderId="0" xfId="0" applyFont="1">
      <alignment vertical="center"/>
    </xf>
    <xf numFmtId="177" fontId="5" fillId="0" borderId="0" xfId="0" applyNumberFormat="1" applyFont="1">
      <alignment vertical="center"/>
    </xf>
    <xf numFmtId="178" fontId="5" fillId="0" borderId="0" xfId="0" applyNumberFormat="1" applyFont="1">
      <alignment vertical="center"/>
    </xf>
    <xf numFmtId="0" fontId="6" fillId="0" borderId="0" xfId="0" applyFont="1">
      <alignment vertical="center"/>
    </xf>
    <xf numFmtId="0" fontId="7" fillId="3" borderId="0" xfId="0" applyFont="1" applyFill="1" applyAlignment="1">
      <alignment vertical="center" wrapText="1"/>
    </xf>
    <xf numFmtId="179" fontId="7" fillId="3" borderId="0" xfId="0" applyNumberFormat="1" applyFont="1" applyFill="1" applyAlignment="1">
      <alignment vertical="center" wrapText="1"/>
    </xf>
    <xf numFmtId="0" fontId="6" fillId="4" borderId="0" xfId="0" applyFont="1" applyFill="1">
      <alignment vertical="center"/>
    </xf>
    <xf numFmtId="0" fontId="8" fillId="4" borderId="0" xfId="0" applyFont="1" applyFill="1">
      <alignment vertical="center"/>
    </xf>
    <xf numFmtId="180" fontId="0" fillId="0" borderId="0" xfId="0" applyNumberFormat="1">
      <alignment vertical="center"/>
    </xf>
    <xf numFmtId="0" fontId="9" fillId="0" borderId="0" xfId="0" applyFont="1">
      <alignment vertical="center"/>
    </xf>
    <xf numFmtId="180" fontId="9" fillId="0" borderId="0" xfId="0" applyNumberFormat="1" applyFont="1">
      <alignment vertical="center"/>
    </xf>
    <xf numFmtId="1" fontId="0" fillId="0" borderId="0" xfId="0" applyNumberFormat="1">
      <alignment vertical="center"/>
    </xf>
    <xf numFmtId="0" fontId="10" fillId="4" borderId="0" xfId="0" applyFont="1" applyFill="1">
      <alignment vertical="center"/>
    </xf>
    <xf numFmtId="0" fontId="11" fillId="4" borderId="0" xfId="0" applyFont="1" applyFill="1">
      <alignment vertical="center"/>
    </xf>
    <xf numFmtId="0" fontId="0" fillId="0" borderId="0" xfId="0" applyAlignment="1">
      <alignment horizontal="right" vertical="center"/>
    </xf>
    <xf numFmtId="177" fontId="0" fillId="0" borderId="0" xfId="0" applyNumberFormat="1" applyAlignment="1">
      <alignment horizontal="right" vertical="center"/>
    </xf>
    <xf numFmtId="0" fontId="12" fillId="0" borderId="0" xfId="0" applyFont="1">
      <alignment vertical="center"/>
    </xf>
    <xf numFmtId="0" fontId="13" fillId="0" borderId="0" xfId="0" applyFont="1">
      <alignment vertical="center"/>
    </xf>
    <xf numFmtId="0" fontId="0" fillId="0" borderId="1" xfId="0" applyBorder="1">
      <alignment vertical="center"/>
    </xf>
    <xf numFmtId="0" fontId="14" fillId="0" borderId="1" xfId="0" applyFont="1" applyBorder="1">
      <alignment vertical="center"/>
    </xf>
    <xf numFmtId="177" fontId="0" fillId="0" borderId="1" xfId="0" applyNumberFormat="1" applyBorder="1" applyAlignment="1">
      <alignment horizontal="right" vertical="center"/>
    </xf>
    <xf numFmtId="177" fontId="0" fillId="0" borderId="1" xfId="0" applyNumberFormat="1" applyBorder="1">
      <alignment vertical="center"/>
    </xf>
    <xf numFmtId="181" fontId="0" fillId="0" borderId="0" xfId="0" applyNumberFormat="1">
      <alignment vertical="center"/>
    </xf>
    <xf numFmtId="181" fontId="0" fillId="0" borderId="1" xfId="0" applyNumberFormat="1" applyBorder="1">
      <alignment vertical="center"/>
    </xf>
    <xf numFmtId="182" fontId="0" fillId="0" borderId="0" xfId="0" applyNumberFormat="1">
      <alignment vertical="center"/>
    </xf>
    <xf numFmtId="182" fontId="0" fillId="0" borderId="1" xfId="0" applyNumberFormat="1" applyBorder="1">
      <alignment vertical="center"/>
    </xf>
    <xf numFmtId="0" fontId="15" fillId="0" borderId="0" xfId="0" applyFont="1">
      <alignment vertical="center"/>
    </xf>
    <xf numFmtId="0" fontId="16" fillId="3" borderId="0" xfId="0" applyFont="1" applyFill="1" applyAlignment="1">
      <alignment vertical="center" wrapText="1"/>
    </xf>
    <xf numFmtId="0" fontId="2" fillId="0" borderId="1" xfId="0" applyFont="1" applyBorder="1">
      <alignment vertical="center"/>
    </xf>
    <xf numFmtId="0" fontId="0" fillId="0" borderId="0" xfId="0" applyAlignment="1">
      <alignment horizontal="left" vertical="center" indent="2"/>
    </xf>
    <xf numFmtId="0" fontId="7" fillId="3" borderId="0" xfId="0" applyFont="1" applyFill="1" applyAlignment="1">
      <alignment horizontal="left" vertical="center" wrapText="1" indent="2"/>
    </xf>
    <xf numFmtId="0" fontId="0" fillId="0" borderId="1" xfId="0" applyBorder="1" applyAlignment="1">
      <alignment horizontal="left" vertical="center" indent="2"/>
    </xf>
    <xf numFmtId="0" fontId="17" fillId="0" borderId="0" xfId="0" applyFont="1">
      <alignment vertical="center"/>
    </xf>
    <xf numFmtId="179" fontId="7" fillId="3" borderId="0" xfId="0" applyNumberFormat="1" applyFont="1" applyFill="1" applyAlignment="1">
      <alignment horizontal="right" vertical="center" wrapText="1"/>
    </xf>
    <xf numFmtId="0" fontId="6" fillId="4" borderId="0" xfId="0" applyFont="1" applyFill="1" applyAlignment="1">
      <alignment horizontal="right" vertical="center"/>
    </xf>
    <xf numFmtId="183" fontId="0" fillId="0" borderId="0" xfId="0" applyNumberFormat="1" applyAlignment="1">
      <alignment horizontal="right" vertical="center"/>
    </xf>
    <xf numFmtId="0" fontId="6" fillId="0" borderId="0" xfId="0" applyFont="1" applyAlignment="1">
      <alignment vertical="top" wrapText="1"/>
    </xf>
    <xf numFmtId="0" fontId="0" fillId="0" borderId="0" xfId="0" applyAlignment="1">
      <alignment vertical="top" wrapText="1"/>
    </xf>
    <xf numFmtId="10" fontId="0" fillId="0" borderId="0" xfId="0" applyNumberFormat="1">
      <alignment vertical="center"/>
    </xf>
    <xf numFmtId="184" fontId="0" fillId="0" borderId="0" xfId="0" applyNumberFormat="1">
      <alignment vertical="center"/>
    </xf>
    <xf numFmtId="0" fontId="6" fillId="2" borderId="2" xfId="0" applyFont="1" applyFill="1" applyBorder="1">
      <alignment vertical="center"/>
    </xf>
    <xf numFmtId="3" fontId="0" fillId="0" borderId="0" xfId="0" applyNumberFormat="1">
      <alignment vertical="center"/>
    </xf>
    <xf numFmtId="0" fontId="7" fillId="3" borderId="0" xfId="0" applyFont="1" applyFill="1">
      <alignment vertical="center"/>
    </xf>
    <xf numFmtId="3" fontId="6" fillId="4" borderId="0" xfId="0" applyNumberFormat="1" applyFont="1" applyFill="1">
      <alignment vertical="center"/>
    </xf>
    <xf numFmtId="177" fontId="6" fillId="4" borderId="0" xfId="0" applyNumberFormat="1" applyFont="1" applyFill="1">
      <alignment vertical="center"/>
    </xf>
    <xf numFmtId="179" fontId="7" fillId="3" borderId="0" xfId="0" applyNumberFormat="1" applyFont="1" applyFill="1" applyAlignment="1">
      <alignment horizontal="right" vertical="center"/>
    </xf>
    <xf numFmtId="0" fontId="7" fillId="3" borderId="0" xfId="0" applyFont="1" applyFill="1" applyAlignment="1">
      <alignment horizontal="right" vertical="center"/>
    </xf>
    <xf numFmtId="0" fontId="2" fillId="4" borderId="0" xfId="0" applyFont="1" applyFill="1" applyAlignment="1">
      <alignment horizontal="center" vertical="center" wrapText="1"/>
    </xf>
    <xf numFmtId="185" fontId="18" fillId="4" borderId="0" xfId="0" applyNumberFormat="1" applyFont="1" applyFill="1" applyAlignment="1">
      <alignment horizontal="center" vertical="center"/>
    </xf>
    <xf numFmtId="0" fontId="2" fillId="4" borderId="0" xfId="0" applyFont="1" applyFill="1" applyAlignment="1">
      <alignment horizontal="center" vertical="center"/>
    </xf>
    <xf numFmtId="186" fontId="18" fillId="4" borderId="0" xfId="0" applyNumberFormat="1" applyFont="1" applyFill="1" applyAlignment="1">
      <alignment horizontal="center" vertical="center"/>
    </xf>
    <xf numFmtId="177" fontId="18" fillId="4" borderId="0" xfId="0" applyNumberFormat="1" applyFont="1" applyFill="1" applyAlignment="1">
      <alignment horizontal="center" vertical="center"/>
    </xf>
    <xf numFmtId="187" fontId="18" fillId="4" borderId="0" xfId="0" applyNumberFormat="1" applyFont="1" applyFill="1" applyAlignment="1">
      <alignment horizontal="center" vertical="center"/>
    </xf>
    <xf numFmtId="181" fontId="0" fillId="0" borderId="0" xfId="0" applyNumberFormat="1" applyAlignment="1">
      <alignment horizontal="right" vertical="center"/>
    </xf>
    <xf numFmtId="182" fontId="0" fillId="0" borderId="0" xfId="0" applyNumberFormat="1" applyAlignment="1">
      <alignment horizontal="right" vertical="center"/>
    </xf>
    <xf numFmtId="0" fontId="0" fillId="0" borderId="0" xfId="0" pivotButton="1">
      <alignment vertical="center"/>
    </xf>
    <xf numFmtId="0" fontId="0" fillId="0" borderId="0" xfId="0" applyAlignment="1">
      <alignment horizontal="left" vertical="center"/>
    </xf>
    <xf numFmtId="0" fontId="19" fillId="0" borderId="0" xfId="1">
      <alignment vertical="center"/>
    </xf>
    <xf numFmtId="0" fontId="6" fillId="0" borderId="0" xfId="0" applyFont="1" applyAlignment="1">
      <alignment vertical="top"/>
    </xf>
    <xf numFmtId="0" fontId="0" fillId="0" borderId="0" xfId="0" applyAlignment="1">
      <alignment horizontal="left" vertical="top" wrapText="1"/>
    </xf>
    <xf numFmtId="0" fontId="7" fillId="3" borderId="0" xfId="0" applyFont="1" applyFill="1" applyAlignment="1">
      <alignment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top"/>
    </xf>
    <xf numFmtId="0" fontId="6" fillId="0" borderId="0" xfId="0" applyFont="1" applyAlignment="1">
      <alignment horizontal="center" vertical="top"/>
    </xf>
    <xf numFmtId="0" fontId="0" fillId="0" borderId="0" xfId="0" applyAlignment="1">
      <alignment horizontal="center" vertical="center"/>
    </xf>
    <xf numFmtId="0" fontId="20" fillId="4" borderId="0" xfId="0" applyFont="1" applyFill="1" applyAlignment="1">
      <alignment vertical="top" wrapText="1"/>
    </xf>
    <xf numFmtId="0" fontId="21"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cellXfs>
  <cellStyles count="2">
    <cellStyle name="常规" xfId="0" builtinId="0" customBuiltin="1"/>
    <cellStyle name="超链接" xfId="1" builtinId="8"/>
  </cellStyles>
  <dxfs count="23">
    <dxf>
      <fill>
        <patternFill>
          <bgColor rgb="FFFFEB9C"/>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C6EFCE"/>
        </patternFill>
      </fill>
    </dxf>
    <dxf>
      <font>
        <color rgb="FFC00000"/>
      </font>
    </dxf>
    <dxf>
      <fill>
        <patternFill>
          <bgColor rgb="FFFFEB9C"/>
        </patternFill>
      </fill>
    </dxf>
    <dxf>
      <font>
        <color rgb="FFC00000"/>
      </font>
    </dxf>
    <dxf>
      <fill>
        <patternFill>
          <bgColor rgb="FFFFEB9C"/>
        </patternFill>
      </fill>
    </dxf>
    <dxf>
      <font>
        <color rgb="FFC00000"/>
      </font>
    </dxf>
    <dxf>
      <fill>
        <patternFill>
          <bgColor rgb="FFFFEB9C"/>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rgb="FF0046BE"/>
      </font>
      <numFmt numFmtId="177" formatCode="0.0%"/>
    </dxf>
    <dxf>
      <font>
        <color rgb="FF0046BE"/>
      </font>
    </dxf>
    <dxf>
      <font>
        <color rgb="FF0046BE"/>
      </font>
      <numFmt numFmtId="176" formatCode="yyyy\-mm\-dd"/>
    </dxf>
    <dxf>
      <alignment horizontal="general" vertical="center" textRotation="0" wrapText="1" indent="0" justifyLastLine="0" shrinkToFit="0" readingOrder="0"/>
    </dxf>
    <dxf>
      <font>
        <color rgb="FF0046BE"/>
      </font>
      <numFmt numFmtId="178"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r>
              <a:rPr lang="en-US"/>
              <a:t>Revenue (C$ millions)</a:t>
            </a:r>
          </a:p>
        </c:rich>
      </c:tx>
      <c:overlay val="0"/>
      <c:spPr>
        <a:noFill/>
        <a:ln>
          <a:noFill/>
        </a:ln>
        <a:effectLst/>
      </c:spPr>
      <c:txPr>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v>Loblaw</c:v>
          </c:tx>
          <c:spPr>
            <a:solidFill>
              <a:srgbClr val="D62728"/>
            </a:solidFill>
            <a:ln>
              <a:solidFill>
                <a:srgbClr val="D62728"/>
              </a:solidFill>
            </a:ln>
            <a:effectLst/>
          </c:spPr>
          <c:invertIfNegative val="0"/>
          <c:cat>
            <c:numRef>
              <c:f>Model!$B$4:$G$4</c:f>
              <c:numCache>
                <c:formatCode>"FY"0</c:formatCode>
                <c:ptCount val="6"/>
                <c:pt idx="0">
                  <c:v>2020</c:v>
                </c:pt>
                <c:pt idx="1">
                  <c:v>2021</c:v>
                </c:pt>
                <c:pt idx="2">
                  <c:v>2022</c:v>
                </c:pt>
                <c:pt idx="3">
                  <c:v>2023</c:v>
                </c:pt>
                <c:pt idx="4">
                  <c:v>2024</c:v>
                </c:pt>
                <c:pt idx="5">
                  <c:v>2025</c:v>
                </c:pt>
              </c:numCache>
            </c:numRef>
          </c:cat>
          <c:val>
            <c:numRef>
              <c:f>Model!$B$6:$G$6</c:f>
              <c:numCache>
                <c:formatCode>#,##0.0;\(#,##0.0\)</c:formatCode>
                <c:ptCount val="6"/>
                <c:pt idx="0">
                  <c:v>52714</c:v>
                </c:pt>
                <c:pt idx="1">
                  <c:v>53170</c:v>
                </c:pt>
                <c:pt idx="2">
                  <c:v>56504</c:v>
                </c:pt>
                <c:pt idx="3">
                  <c:v>59529</c:v>
                </c:pt>
                <c:pt idx="4">
                  <c:v>60123</c:v>
                </c:pt>
                <c:pt idx="5">
                  <c:v>63903</c:v>
                </c:pt>
              </c:numCache>
            </c:numRef>
          </c:val>
          <c:extLst>
            <c:ext xmlns:c16="http://schemas.microsoft.com/office/drawing/2014/chart" uri="{C3380CC4-5D6E-409C-BE32-E72D297353CC}">
              <c16:uniqueId val="{00000001-A520-45C1-8072-E533AD83DF61}"/>
            </c:ext>
          </c:extLst>
        </c:ser>
        <c:ser>
          <c:idx val="1"/>
          <c:order val="1"/>
          <c:tx>
            <c:v>Metro</c:v>
          </c:tx>
          <c:spPr>
            <a:solidFill>
              <a:srgbClr val="1F77B4"/>
            </a:solidFill>
            <a:ln>
              <a:solidFill>
                <a:srgbClr val="1F77B4"/>
              </a:solidFill>
            </a:ln>
            <a:effectLst/>
          </c:spPr>
          <c:invertIfNegative val="0"/>
          <c:cat>
            <c:numRef>
              <c:f>Model!$B$4:$G$4</c:f>
              <c:numCache>
                <c:formatCode>"FY"0</c:formatCode>
                <c:ptCount val="6"/>
                <c:pt idx="0">
                  <c:v>2020</c:v>
                </c:pt>
                <c:pt idx="1">
                  <c:v>2021</c:v>
                </c:pt>
                <c:pt idx="2">
                  <c:v>2022</c:v>
                </c:pt>
                <c:pt idx="3">
                  <c:v>2023</c:v>
                </c:pt>
                <c:pt idx="4">
                  <c:v>2024</c:v>
                </c:pt>
                <c:pt idx="5">
                  <c:v>2025</c:v>
                </c:pt>
              </c:numCache>
            </c:numRef>
          </c:cat>
          <c:val>
            <c:numRef>
              <c:f>Model!$B$32:$G$32</c:f>
              <c:numCache>
                <c:formatCode>#,##0.0;\(#,##0.0\)</c:formatCode>
                <c:ptCount val="6"/>
                <c:pt idx="0">
                  <c:v>17997.5</c:v>
                </c:pt>
                <c:pt idx="1">
                  <c:v>18283</c:v>
                </c:pt>
                <c:pt idx="2">
                  <c:v>18888.900000000001</c:v>
                </c:pt>
                <c:pt idx="3">
                  <c:v>20724.599999999999</c:v>
                </c:pt>
                <c:pt idx="4">
                  <c:v>21219.9</c:v>
                </c:pt>
                <c:pt idx="5">
                  <c:v>22006.7</c:v>
                </c:pt>
              </c:numCache>
            </c:numRef>
          </c:val>
          <c:extLst>
            <c:ext xmlns:c16="http://schemas.microsoft.com/office/drawing/2014/chart" uri="{C3380CC4-5D6E-409C-BE32-E72D297353CC}">
              <c16:uniqueId val="{00000002-A520-45C1-8072-E533AD83DF61}"/>
            </c:ext>
          </c:extLst>
        </c:ser>
        <c:ser>
          <c:idx val="2"/>
          <c:order val="2"/>
          <c:tx>
            <c:v>Empire</c:v>
          </c:tx>
          <c:spPr>
            <a:solidFill>
              <a:srgbClr val="2CA02C"/>
            </a:solidFill>
            <a:ln>
              <a:solidFill>
                <a:srgbClr val="2CA02C"/>
              </a:solidFill>
            </a:ln>
            <a:effectLst/>
          </c:spPr>
          <c:invertIfNegative val="0"/>
          <c:cat>
            <c:numRef>
              <c:f>Model!$B$4:$G$4</c:f>
              <c:numCache>
                <c:formatCode>"FY"0</c:formatCode>
                <c:ptCount val="6"/>
                <c:pt idx="0">
                  <c:v>2020</c:v>
                </c:pt>
                <c:pt idx="1">
                  <c:v>2021</c:v>
                </c:pt>
                <c:pt idx="2">
                  <c:v>2022</c:v>
                </c:pt>
                <c:pt idx="3">
                  <c:v>2023</c:v>
                </c:pt>
                <c:pt idx="4">
                  <c:v>2024</c:v>
                </c:pt>
                <c:pt idx="5">
                  <c:v>2025</c:v>
                </c:pt>
              </c:numCache>
            </c:numRef>
          </c:cat>
          <c:val>
            <c:numRef>
              <c:f>Model!$B$58:$G$58</c:f>
              <c:numCache>
                <c:formatCode>#,##0.0;\(#,##0.0\)</c:formatCode>
                <c:ptCount val="6"/>
                <c:pt idx="0">
                  <c:v>26588.2</c:v>
                </c:pt>
                <c:pt idx="1">
                  <c:v>28268.3</c:v>
                </c:pt>
                <c:pt idx="2">
                  <c:v>30162.400000000001</c:v>
                </c:pt>
                <c:pt idx="3">
                  <c:v>30478.1</c:v>
                </c:pt>
                <c:pt idx="4">
                  <c:v>30733</c:v>
                </c:pt>
                <c:pt idx="5">
                  <c:v>31277</c:v>
                </c:pt>
              </c:numCache>
            </c:numRef>
          </c:val>
          <c:extLst>
            <c:ext xmlns:c16="http://schemas.microsoft.com/office/drawing/2014/chart" uri="{C3380CC4-5D6E-409C-BE32-E72D297353CC}">
              <c16:uniqueId val="{00000003-A520-45C1-8072-E533AD83DF61}"/>
            </c:ext>
          </c:extLst>
        </c:ser>
        <c:dLbls>
          <c:showLegendKey val="0"/>
          <c:showVal val="0"/>
          <c:showCatName val="0"/>
          <c:showSerName val="0"/>
          <c:showPercent val="0"/>
          <c:showBubbleSize val="0"/>
        </c:dLbls>
        <c:gapWidth val="219"/>
        <c:overlap val="-27"/>
        <c:axId val="110786992"/>
        <c:axId val="114721488"/>
      </c:barChart>
      <c:catAx>
        <c:axId val="110786992"/>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4721488"/>
        <c:crosses val="autoZero"/>
        <c:auto val="1"/>
        <c:lblAlgn val="ctr"/>
        <c:lblOffset val="100"/>
        <c:noMultiLvlLbl val="0"/>
      </c:catAx>
      <c:valAx>
        <c:axId val="114721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786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r>
              <a:rPr lang="en-US"/>
              <a:t>Gross margin</a:t>
            </a:r>
          </a:p>
        </c:rich>
      </c:tx>
      <c:overlay val="0"/>
      <c:spPr>
        <a:noFill/>
        <a:ln>
          <a:noFill/>
        </a:ln>
        <a:effectLst/>
      </c:spPr>
      <c:txPr>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Ratios!$C$13</c:f>
              <c:strCache>
                <c:ptCount val="1"/>
                <c:pt idx="0">
                  <c:v>Loblaw</c:v>
                </c:pt>
              </c:strCache>
            </c:strRef>
          </c:tx>
          <c:spPr>
            <a:ln w="28575" cap="rnd">
              <a:solidFill>
                <a:srgbClr val="D62728"/>
              </a:solidFill>
              <a:round/>
            </a:ln>
            <a:effectLst/>
          </c:spPr>
          <c:marker>
            <c:symbol val="circle"/>
            <c:size val="5"/>
            <c:spPr>
              <a:solidFill>
                <a:srgbClr val="D62728"/>
              </a:solidFill>
              <a:ln w="9525">
                <a:solidFill>
                  <a:srgbClr val="D62728"/>
                </a:solidFill>
                <a:prstDash val="solid"/>
              </a:ln>
              <a:effectLst/>
            </c:spPr>
          </c:marker>
          <c:cat>
            <c:numRef>
              <c:f>Ratios!$D$4:$I$4</c:f>
              <c:numCache>
                <c:formatCode>"FY"0</c:formatCode>
                <c:ptCount val="6"/>
                <c:pt idx="0">
                  <c:v>2020</c:v>
                </c:pt>
                <c:pt idx="1">
                  <c:v>2021</c:v>
                </c:pt>
                <c:pt idx="2">
                  <c:v>2022</c:v>
                </c:pt>
                <c:pt idx="3">
                  <c:v>2023</c:v>
                </c:pt>
                <c:pt idx="4">
                  <c:v>2024</c:v>
                </c:pt>
                <c:pt idx="5">
                  <c:v>2025</c:v>
                </c:pt>
              </c:numCache>
            </c:numRef>
          </c:cat>
          <c:val>
            <c:numRef>
              <c:f>Ratios!$D$13:$I$13</c:f>
              <c:numCache>
                <c:formatCode>0.0%</c:formatCode>
                <c:ptCount val="6"/>
                <c:pt idx="0">
                  <c:v>0.30331600713282997</c:v>
                </c:pt>
                <c:pt idx="1">
                  <c:v>0.31472634944517586</c:v>
                </c:pt>
                <c:pt idx="2">
                  <c:v>0.31813676907829536</c:v>
                </c:pt>
                <c:pt idx="3">
                  <c:v>0.31979371398814022</c:v>
                </c:pt>
                <c:pt idx="4">
                  <c:v>0.3132744540358931</c:v>
                </c:pt>
                <c:pt idx="5">
                  <c:v>0.31347511071467693</c:v>
                </c:pt>
              </c:numCache>
            </c:numRef>
          </c:val>
          <c:smooth val="0"/>
          <c:extLst>
            <c:ext xmlns:c16="http://schemas.microsoft.com/office/drawing/2014/chart" uri="{C3380CC4-5D6E-409C-BE32-E72D297353CC}">
              <c16:uniqueId val="{00000001-170A-4F38-88D9-E061BA616430}"/>
            </c:ext>
          </c:extLst>
        </c:ser>
        <c:ser>
          <c:idx val="1"/>
          <c:order val="1"/>
          <c:tx>
            <c:strRef>
              <c:f>Ratios!$C$14</c:f>
              <c:strCache>
                <c:ptCount val="1"/>
                <c:pt idx="0">
                  <c:v>Metro</c:v>
                </c:pt>
              </c:strCache>
            </c:strRef>
          </c:tx>
          <c:spPr>
            <a:ln w="28575" cap="rnd">
              <a:solidFill>
                <a:srgbClr val="1F77B4"/>
              </a:solidFill>
              <a:round/>
            </a:ln>
            <a:effectLst/>
          </c:spPr>
          <c:marker>
            <c:symbol val="circle"/>
            <c:size val="5"/>
            <c:spPr>
              <a:solidFill>
                <a:srgbClr val="1F77B4"/>
              </a:solidFill>
              <a:ln w="9525">
                <a:solidFill>
                  <a:srgbClr val="1F77B4"/>
                </a:solidFill>
                <a:prstDash val="solid"/>
              </a:ln>
              <a:effectLst/>
            </c:spPr>
          </c:marker>
          <c:cat>
            <c:numRef>
              <c:f>Ratios!$D$4:$I$4</c:f>
              <c:numCache>
                <c:formatCode>"FY"0</c:formatCode>
                <c:ptCount val="6"/>
                <c:pt idx="0">
                  <c:v>2020</c:v>
                </c:pt>
                <c:pt idx="1">
                  <c:v>2021</c:v>
                </c:pt>
                <c:pt idx="2">
                  <c:v>2022</c:v>
                </c:pt>
                <c:pt idx="3">
                  <c:v>2023</c:v>
                </c:pt>
                <c:pt idx="4">
                  <c:v>2024</c:v>
                </c:pt>
                <c:pt idx="5">
                  <c:v>2025</c:v>
                </c:pt>
              </c:numCache>
            </c:numRef>
          </c:cat>
          <c:val>
            <c:numRef>
              <c:f>Ratios!$D$14:$I$14</c:f>
              <c:numCache>
                <c:formatCode>0.0%</c:formatCode>
                <c:ptCount val="6"/>
                <c:pt idx="0">
                  <c:v>0.1990165300736213</c:v>
                </c:pt>
                <c:pt idx="1">
                  <c:v>0.1999015478860143</c:v>
                </c:pt>
                <c:pt idx="2">
                  <c:v>0.20029223512221467</c:v>
                </c:pt>
                <c:pt idx="3">
                  <c:v>0.1969736448471863</c:v>
                </c:pt>
                <c:pt idx="4">
                  <c:v>0.19695191777529594</c:v>
                </c:pt>
                <c:pt idx="5">
                  <c:v>0.19858952046422221</c:v>
                </c:pt>
              </c:numCache>
            </c:numRef>
          </c:val>
          <c:smooth val="0"/>
          <c:extLst>
            <c:ext xmlns:c16="http://schemas.microsoft.com/office/drawing/2014/chart" uri="{C3380CC4-5D6E-409C-BE32-E72D297353CC}">
              <c16:uniqueId val="{00000002-170A-4F38-88D9-E061BA616430}"/>
            </c:ext>
          </c:extLst>
        </c:ser>
        <c:ser>
          <c:idx val="2"/>
          <c:order val="2"/>
          <c:tx>
            <c:strRef>
              <c:f>Ratios!$C$15</c:f>
              <c:strCache>
                <c:ptCount val="1"/>
                <c:pt idx="0">
                  <c:v>Empire</c:v>
                </c:pt>
              </c:strCache>
            </c:strRef>
          </c:tx>
          <c:spPr>
            <a:ln w="28575" cap="rnd">
              <a:solidFill>
                <a:srgbClr val="2CA02C"/>
              </a:solidFill>
              <a:round/>
            </a:ln>
            <a:effectLst/>
          </c:spPr>
          <c:marker>
            <c:symbol val="circle"/>
            <c:size val="5"/>
            <c:spPr>
              <a:solidFill>
                <a:srgbClr val="2CA02C"/>
              </a:solidFill>
              <a:ln w="9525">
                <a:solidFill>
                  <a:srgbClr val="2CA02C"/>
                </a:solidFill>
                <a:prstDash val="solid"/>
              </a:ln>
              <a:effectLst/>
            </c:spPr>
          </c:marker>
          <c:cat>
            <c:numRef>
              <c:f>Ratios!$D$4:$I$4</c:f>
              <c:numCache>
                <c:formatCode>"FY"0</c:formatCode>
                <c:ptCount val="6"/>
                <c:pt idx="0">
                  <c:v>2020</c:v>
                </c:pt>
                <c:pt idx="1">
                  <c:v>2021</c:v>
                </c:pt>
                <c:pt idx="2">
                  <c:v>2022</c:v>
                </c:pt>
                <c:pt idx="3">
                  <c:v>2023</c:v>
                </c:pt>
                <c:pt idx="4">
                  <c:v>2024</c:v>
                </c:pt>
                <c:pt idx="5">
                  <c:v>2025</c:v>
                </c:pt>
              </c:numCache>
            </c:numRef>
          </c:cat>
          <c:val>
            <c:numRef>
              <c:f>Ratios!$D$15:$I$15</c:f>
              <c:numCache>
                <c:formatCode>0.0%</c:formatCode>
                <c:ptCount val="6"/>
                <c:pt idx="0">
                  <c:v>0.24948285329582293</c:v>
                </c:pt>
                <c:pt idx="1">
                  <c:v>0.25467750094628966</c:v>
                </c:pt>
                <c:pt idx="2">
                  <c:v>0.25394862477786917</c:v>
                </c:pt>
                <c:pt idx="3">
                  <c:v>0.25568194867790306</c:v>
                </c:pt>
                <c:pt idx="4">
                  <c:v>0.26261673120098916</c:v>
                </c:pt>
                <c:pt idx="5">
                  <c:v>0.26799245451929532</c:v>
                </c:pt>
              </c:numCache>
            </c:numRef>
          </c:val>
          <c:smooth val="0"/>
          <c:extLst>
            <c:ext xmlns:c16="http://schemas.microsoft.com/office/drawing/2014/chart" uri="{C3380CC4-5D6E-409C-BE32-E72D297353CC}">
              <c16:uniqueId val="{00000003-170A-4F38-88D9-E061BA616430}"/>
            </c:ext>
          </c:extLst>
        </c:ser>
        <c:dLbls>
          <c:showLegendKey val="0"/>
          <c:showVal val="0"/>
          <c:showCatName val="0"/>
          <c:showSerName val="0"/>
          <c:showPercent val="0"/>
          <c:showBubbleSize val="0"/>
        </c:dLbls>
        <c:marker val="1"/>
        <c:smooth val="0"/>
        <c:axId val="110782352"/>
        <c:axId val="114723888"/>
      </c:lineChart>
      <c:catAx>
        <c:axId val="110782352"/>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4723888"/>
        <c:crosses val="autoZero"/>
        <c:auto val="1"/>
        <c:lblAlgn val="ctr"/>
        <c:lblOffset val="100"/>
        <c:noMultiLvlLbl val="0"/>
      </c:catAx>
      <c:valAx>
        <c:axId val="114723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78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r>
              <a:rPr lang="en-US"/>
              <a:t>Net margin</a:t>
            </a:r>
          </a:p>
        </c:rich>
      </c:tx>
      <c:overlay val="0"/>
      <c:spPr>
        <a:noFill/>
        <a:ln>
          <a:noFill/>
        </a:ln>
        <a:effectLst/>
      </c:spPr>
      <c:txPr>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Ratios!$C$21</c:f>
              <c:strCache>
                <c:ptCount val="1"/>
                <c:pt idx="0">
                  <c:v>Loblaw</c:v>
                </c:pt>
              </c:strCache>
            </c:strRef>
          </c:tx>
          <c:spPr>
            <a:ln w="28575" cap="rnd">
              <a:solidFill>
                <a:srgbClr val="D62728"/>
              </a:solidFill>
              <a:round/>
            </a:ln>
            <a:effectLst/>
          </c:spPr>
          <c:marker>
            <c:symbol val="circle"/>
            <c:size val="5"/>
            <c:spPr>
              <a:solidFill>
                <a:srgbClr val="D62728"/>
              </a:solidFill>
              <a:ln w="9525">
                <a:solidFill>
                  <a:srgbClr val="D62728"/>
                </a:solidFill>
                <a:prstDash val="solid"/>
              </a:ln>
              <a:effectLst/>
            </c:spPr>
          </c:marker>
          <c:cat>
            <c:numRef>
              <c:f>Ratios!$D$4:$I$4</c:f>
              <c:numCache>
                <c:formatCode>"FY"0</c:formatCode>
                <c:ptCount val="6"/>
                <c:pt idx="0">
                  <c:v>2020</c:v>
                </c:pt>
                <c:pt idx="1">
                  <c:v>2021</c:v>
                </c:pt>
                <c:pt idx="2">
                  <c:v>2022</c:v>
                </c:pt>
                <c:pt idx="3">
                  <c:v>2023</c:v>
                </c:pt>
                <c:pt idx="4">
                  <c:v>2024</c:v>
                </c:pt>
                <c:pt idx="5">
                  <c:v>2025</c:v>
                </c:pt>
              </c:numCache>
            </c:numRef>
          </c:cat>
          <c:val>
            <c:numRef>
              <c:f>Ratios!$D$21:$I$21</c:f>
              <c:numCache>
                <c:formatCode>0.0%</c:formatCode>
                <c:ptCount val="6"/>
                <c:pt idx="0">
                  <c:v>2.2612588686117541E-2</c:v>
                </c:pt>
                <c:pt idx="1">
                  <c:v>3.7163814180929094E-2</c:v>
                </c:pt>
                <c:pt idx="2">
                  <c:v>3.5289537023927509E-2</c:v>
                </c:pt>
                <c:pt idx="3">
                  <c:v>3.6738396411832887E-2</c:v>
                </c:pt>
                <c:pt idx="4">
                  <c:v>3.7839096518803121E-2</c:v>
                </c:pt>
                <c:pt idx="5">
                  <c:v>4.2846188754831545E-2</c:v>
                </c:pt>
              </c:numCache>
            </c:numRef>
          </c:val>
          <c:smooth val="0"/>
          <c:extLst>
            <c:ext xmlns:c16="http://schemas.microsoft.com/office/drawing/2014/chart" uri="{C3380CC4-5D6E-409C-BE32-E72D297353CC}">
              <c16:uniqueId val="{00000001-2379-4F9E-87B6-C02751BB7182}"/>
            </c:ext>
          </c:extLst>
        </c:ser>
        <c:ser>
          <c:idx val="1"/>
          <c:order val="1"/>
          <c:tx>
            <c:strRef>
              <c:f>Ratios!$C$22</c:f>
              <c:strCache>
                <c:ptCount val="1"/>
                <c:pt idx="0">
                  <c:v>Metro</c:v>
                </c:pt>
              </c:strCache>
            </c:strRef>
          </c:tx>
          <c:spPr>
            <a:ln w="28575" cap="rnd">
              <a:solidFill>
                <a:srgbClr val="1F77B4"/>
              </a:solidFill>
              <a:round/>
            </a:ln>
            <a:effectLst/>
          </c:spPr>
          <c:marker>
            <c:symbol val="circle"/>
            <c:size val="5"/>
            <c:spPr>
              <a:solidFill>
                <a:srgbClr val="1F77B4"/>
              </a:solidFill>
              <a:ln w="9525">
                <a:solidFill>
                  <a:srgbClr val="1F77B4"/>
                </a:solidFill>
                <a:prstDash val="solid"/>
              </a:ln>
              <a:effectLst/>
            </c:spPr>
          </c:marker>
          <c:cat>
            <c:numRef>
              <c:f>Ratios!$D$4:$I$4</c:f>
              <c:numCache>
                <c:formatCode>"FY"0</c:formatCode>
                <c:ptCount val="6"/>
                <c:pt idx="0">
                  <c:v>2020</c:v>
                </c:pt>
                <c:pt idx="1">
                  <c:v>2021</c:v>
                </c:pt>
                <c:pt idx="2">
                  <c:v>2022</c:v>
                </c:pt>
                <c:pt idx="3">
                  <c:v>2023</c:v>
                </c:pt>
                <c:pt idx="4">
                  <c:v>2024</c:v>
                </c:pt>
                <c:pt idx="5">
                  <c:v>2025</c:v>
                </c:pt>
              </c:numCache>
            </c:numRef>
          </c:cat>
          <c:val>
            <c:numRef>
              <c:f>Ratios!$D$22:$I$22</c:f>
              <c:numCache>
                <c:formatCode>0.0%</c:formatCode>
                <c:ptCount val="6"/>
                <c:pt idx="0">
                  <c:v>4.4250590359772191E-2</c:v>
                </c:pt>
                <c:pt idx="1">
                  <c:v>4.5162172509981953E-2</c:v>
                </c:pt>
                <c:pt idx="2">
                  <c:v>4.4973502956762966E-2</c:v>
                </c:pt>
                <c:pt idx="3">
                  <c:v>4.9158970498827483E-2</c:v>
                </c:pt>
                <c:pt idx="4">
                  <c:v>4.3906898713000533E-2</c:v>
                </c:pt>
                <c:pt idx="5">
                  <c:v>4.6326800474400978E-2</c:v>
                </c:pt>
              </c:numCache>
            </c:numRef>
          </c:val>
          <c:smooth val="0"/>
          <c:extLst>
            <c:ext xmlns:c16="http://schemas.microsoft.com/office/drawing/2014/chart" uri="{C3380CC4-5D6E-409C-BE32-E72D297353CC}">
              <c16:uniqueId val="{00000002-2379-4F9E-87B6-C02751BB7182}"/>
            </c:ext>
          </c:extLst>
        </c:ser>
        <c:ser>
          <c:idx val="2"/>
          <c:order val="2"/>
          <c:tx>
            <c:strRef>
              <c:f>Ratios!$C$23</c:f>
              <c:strCache>
                <c:ptCount val="1"/>
                <c:pt idx="0">
                  <c:v>Empire</c:v>
                </c:pt>
              </c:strCache>
            </c:strRef>
          </c:tx>
          <c:spPr>
            <a:ln w="28575" cap="rnd">
              <a:solidFill>
                <a:srgbClr val="2CA02C"/>
              </a:solidFill>
              <a:round/>
            </a:ln>
            <a:effectLst/>
          </c:spPr>
          <c:marker>
            <c:symbol val="circle"/>
            <c:size val="5"/>
            <c:spPr>
              <a:solidFill>
                <a:srgbClr val="2CA02C"/>
              </a:solidFill>
              <a:ln w="9525">
                <a:solidFill>
                  <a:srgbClr val="2CA02C"/>
                </a:solidFill>
                <a:prstDash val="solid"/>
              </a:ln>
              <a:effectLst/>
            </c:spPr>
          </c:marker>
          <c:cat>
            <c:numRef>
              <c:f>Ratios!$D$4:$I$4</c:f>
              <c:numCache>
                <c:formatCode>"FY"0</c:formatCode>
                <c:ptCount val="6"/>
                <c:pt idx="0">
                  <c:v>2020</c:v>
                </c:pt>
                <c:pt idx="1">
                  <c:v>2021</c:v>
                </c:pt>
                <c:pt idx="2">
                  <c:v>2022</c:v>
                </c:pt>
                <c:pt idx="3">
                  <c:v>2023</c:v>
                </c:pt>
                <c:pt idx="4">
                  <c:v>2024</c:v>
                </c:pt>
                <c:pt idx="5">
                  <c:v>2025</c:v>
                </c:pt>
              </c:numCache>
            </c:numRef>
          </c:cat>
          <c:val>
            <c:numRef>
              <c:f>Ratios!$D$23:$I$23</c:f>
              <c:numCache>
                <c:formatCode>0.0%</c:formatCode>
                <c:ptCount val="6"/>
                <c:pt idx="0">
                  <c:v>2.3047818205068411E-2</c:v>
                </c:pt>
                <c:pt idx="1">
                  <c:v>2.7033815263033154E-2</c:v>
                </c:pt>
                <c:pt idx="2">
                  <c:v>2.6897726971328539E-2</c:v>
                </c:pt>
                <c:pt idx="3">
                  <c:v>2.3876160259333753E-2</c:v>
                </c:pt>
                <c:pt idx="4">
                  <c:v>2.4826733478671134E-2</c:v>
                </c:pt>
                <c:pt idx="5">
                  <c:v>2.3851392396969019E-2</c:v>
                </c:pt>
              </c:numCache>
            </c:numRef>
          </c:val>
          <c:smooth val="0"/>
          <c:extLst>
            <c:ext xmlns:c16="http://schemas.microsoft.com/office/drawing/2014/chart" uri="{C3380CC4-5D6E-409C-BE32-E72D297353CC}">
              <c16:uniqueId val="{00000003-2379-4F9E-87B6-C02751BB7182}"/>
            </c:ext>
          </c:extLst>
        </c:ser>
        <c:dLbls>
          <c:showLegendKey val="0"/>
          <c:showVal val="0"/>
          <c:showCatName val="0"/>
          <c:showSerName val="0"/>
          <c:showPercent val="0"/>
          <c:showBubbleSize val="0"/>
        </c:dLbls>
        <c:marker val="1"/>
        <c:smooth val="0"/>
        <c:axId val="632290640"/>
        <c:axId val="114717168"/>
      </c:lineChart>
      <c:catAx>
        <c:axId val="632290640"/>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4717168"/>
        <c:crosses val="autoZero"/>
        <c:auto val="1"/>
        <c:lblAlgn val="ctr"/>
        <c:lblOffset val="100"/>
        <c:noMultiLvlLbl val="0"/>
      </c:catAx>
      <c:valAx>
        <c:axId val="114717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32290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r>
              <a:rPr lang="en-US"/>
              <a:t>Days inventory (how long stock sits before it is sold)</a:t>
            </a:r>
          </a:p>
        </c:rich>
      </c:tx>
      <c:overlay val="0"/>
      <c:spPr>
        <a:noFill/>
        <a:ln>
          <a:noFill/>
        </a:ln>
        <a:effectLst/>
      </c:spPr>
      <c:txPr>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Ratios!$C$45</c:f>
              <c:strCache>
                <c:ptCount val="1"/>
                <c:pt idx="0">
                  <c:v>Loblaw</c:v>
                </c:pt>
              </c:strCache>
            </c:strRef>
          </c:tx>
          <c:spPr>
            <a:solidFill>
              <a:srgbClr val="D62728"/>
            </a:solidFill>
            <a:ln>
              <a:solidFill>
                <a:srgbClr val="D62728"/>
              </a:solidFill>
            </a:ln>
            <a:effectLst/>
          </c:spPr>
          <c:invertIfNegative val="0"/>
          <c:cat>
            <c:numRef>
              <c:f>Ratios!$D$4:$I$4</c:f>
              <c:numCache>
                <c:formatCode>"FY"0</c:formatCode>
                <c:ptCount val="6"/>
                <c:pt idx="0">
                  <c:v>2020</c:v>
                </c:pt>
                <c:pt idx="1">
                  <c:v>2021</c:v>
                </c:pt>
                <c:pt idx="2">
                  <c:v>2022</c:v>
                </c:pt>
                <c:pt idx="3">
                  <c:v>2023</c:v>
                </c:pt>
                <c:pt idx="4">
                  <c:v>2024</c:v>
                </c:pt>
                <c:pt idx="5">
                  <c:v>2025</c:v>
                </c:pt>
              </c:numCache>
            </c:numRef>
          </c:cat>
          <c:val>
            <c:numRef>
              <c:f>Ratios!$D$45:$I$45</c:f>
              <c:numCache>
                <c:formatCode>0.0</c:formatCode>
                <c:ptCount val="6"/>
                <c:pt idx="0">
                  <c:v>52.480462899931922</c:v>
                </c:pt>
                <c:pt idx="1">
                  <c:v>51.608958173235258</c:v>
                </c:pt>
                <c:pt idx="2">
                  <c:v>55.316133720930232</c:v>
                </c:pt>
                <c:pt idx="3">
                  <c:v>52.318482663242129</c:v>
                </c:pt>
                <c:pt idx="4">
                  <c:v>55.806045340050375</c:v>
                </c:pt>
                <c:pt idx="5">
                  <c:v>54.891864785393544</c:v>
                </c:pt>
              </c:numCache>
            </c:numRef>
          </c:val>
          <c:extLst>
            <c:ext xmlns:c16="http://schemas.microsoft.com/office/drawing/2014/chart" uri="{C3380CC4-5D6E-409C-BE32-E72D297353CC}">
              <c16:uniqueId val="{00000001-65E9-416F-96CF-82865E2F6FAA}"/>
            </c:ext>
          </c:extLst>
        </c:ser>
        <c:ser>
          <c:idx val="1"/>
          <c:order val="1"/>
          <c:tx>
            <c:strRef>
              <c:f>Ratios!$C$46</c:f>
              <c:strCache>
                <c:ptCount val="1"/>
                <c:pt idx="0">
                  <c:v>Metro</c:v>
                </c:pt>
              </c:strCache>
            </c:strRef>
          </c:tx>
          <c:spPr>
            <a:solidFill>
              <a:srgbClr val="1F77B4"/>
            </a:solidFill>
            <a:ln>
              <a:solidFill>
                <a:srgbClr val="1F77B4"/>
              </a:solidFill>
            </a:ln>
            <a:effectLst/>
          </c:spPr>
          <c:invertIfNegative val="0"/>
          <c:cat>
            <c:numRef>
              <c:f>Ratios!$D$4:$I$4</c:f>
              <c:numCache>
                <c:formatCode>"FY"0</c:formatCode>
                <c:ptCount val="6"/>
                <c:pt idx="0">
                  <c:v>2020</c:v>
                </c:pt>
                <c:pt idx="1">
                  <c:v>2021</c:v>
                </c:pt>
                <c:pt idx="2">
                  <c:v>2022</c:v>
                </c:pt>
                <c:pt idx="3">
                  <c:v>2023</c:v>
                </c:pt>
                <c:pt idx="4">
                  <c:v>2024</c:v>
                </c:pt>
                <c:pt idx="5">
                  <c:v>2025</c:v>
                </c:pt>
              </c:numCache>
            </c:numRef>
          </c:cat>
          <c:val>
            <c:numRef>
              <c:f>Ratios!$D$46:$I$46</c:f>
              <c:numCache>
                <c:formatCode>0.0</c:formatCode>
                <c:ptCount val="6"/>
                <c:pt idx="0">
                  <c:v>32.022364505365672</c:v>
                </c:pt>
                <c:pt idx="1">
                  <c:v>29.088746393951407</c:v>
                </c:pt>
                <c:pt idx="2">
                  <c:v>32.075548141086749</c:v>
                </c:pt>
                <c:pt idx="3">
                  <c:v>32.346356294765172</c:v>
                </c:pt>
                <c:pt idx="4">
                  <c:v>32.218419539218104</c:v>
                </c:pt>
                <c:pt idx="5">
                  <c:v>33.111360595132787</c:v>
                </c:pt>
              </c:numCache>
            </c:numRef>
          </c:val>
          <c:extLst>
            <c:ext xmlns:c16="http://schemas.microsoft.com/office/drawing/2014/chart" uri="{C3380CC4-5D6E-409C-BE32-E72D297353CC}">
              <c16:uniqueId val="{00000002-65E9-416F-96CF-82865E2F6FAA}"/>
            </c:ext>
          </c:extLst>
        </c:ser>
        <c:ser>
          <c:idx val="2"/>
          <c:order val="2"/>
          <c:tx>
            <c:strRef>
              <c:f>Ratios!$C$47</c:f>
              <c:strCache>
                <c:ptCount val="1"/>
                <c:pt idx="0">
                  <c:v>Empire</c:v>
                </c:pt>
              </c:strCache>
            </c:strRef>
          </c:tx>
          <c:spPr>
            <a:solidFill>
              <a:srgbClr val="2CA02C"/>
            </a:solidFill>
            <a:ln>
              <a:solidFill>
                <a:srgbClr val="2CA02C"/>
              </a:solidFill>
            </a:ln>
            <a:effectLst/>
          </c:spPr>
          <c:invertIfNegative val="0"/>
          <c:cat>
            <c:numRef>
              <c:f>Ratios!$D$4:$I$4</c:f>
              <c:numCache>
                <c:formatCode>"FY"0</c:formatCode>
                <c:ptCount val="6"/>
                <c:pt idx="0">
                  <c:v>2020</c:v>
                </c:pt>
                <c:pt idx="1">
                  <c:v>2021</c:v>
                </c:pt>
                <c:pt idx="2">
                  <c:v>2022</c:v>
                </c:pt>
                <c:pt idx="3">
                  <c:v>2023</c:v>
                </c:pt>
                <c:pt idx="4">
                  <c:v>2024</c:v>
                </c:pt>
                <c:pt idx="5">
                  <c:v>2025</c:v>
                </c:pt>
              </c:numCache>
            </c:numRef>
          </c:cat>
          <c:val>
            <c:numRef>
              <c:f>Ratios!$D$47:$I$47</c:f>
              <c:numCache>
                <c:formatCode>0.0</c:formatCode>
                <c:ptCount val="6"/>
                <c:pt idx="0">
                  <c:v>27.168344617111586</c:v>
                </c:pt>
                <c:pt idx="1">
                  <c:v>25.916578859936397</c:v>
                </c:pt>
                <c:pt idx="2">
                  <c:v>26.238917996507084</c:v>
                </c:pt>
                <c:pt idx="3">
                  <c:v>27.972228834404504</c:v>
                </c:pt>
                <c:pt idx="4">
                  <c:v>28.462095137234137</c:v>
                </c:pt>
                <c:pt idx="5">
                  <c:v>29.142258134963967</c:v>
                </c:pt>
              </c:numCache>
            </c:numRef>
          </c:val>
          <c:extLst>
            <c:ext xmlns:c16="http://schemas.microsoft.com/office/drawing/2014/chart" uri="{C3380CC4-5D6E-409C-BE32-E72D297353CC}">
              <c16:uniqueId val="{00000003-65E9-416F-96CF-82865E2F6FAA}"/>
            </c:ext>
          </c:extLst>
        </c:ser>
        <c:dLbls>
          <c:showLegendKey val="0"/>
          <c:showVal val="0"/>
          <c:showCatName val="0"/>
          <c:showSerName val="0"/>
          <c:showPercent val="0"/>
          <c:showBubbleSize val="0"/>
        </c:dLbls>
        <c:gapWidth val="219"/>
        <c:overlap val="-27"/>
        <c:axId val="632287392"/>
        <c:axId val="114714288"/>
      </c:barChart>
      <c:catAx>
        <c:axId val="632287392"/>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4714288"/>
        <c:crosses val="autoZero"/>
        <c:auto val="1"/>
        <c:lblAlgn val="ctr"/>
        <c:lblOffset val="100"/>
        <c:noMultiLvlLbl val="0"/>
      </c:catAx>
      <c:valAx>
        <c:axId val="114714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3228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r>
              <a:rPr lang="en-US"/>
              <a:t>Margins of the selected company</a:t>
            </a:r>
          </a:p>
        </c:rich>
      </c:tx>
      <c:overlay val="0"/>
      <c:spPr>
        <a:noFill/>
        <a:ln>
          <a:noFill/>
        </a:ln>
        <a:effectLst/>
      </c:spPr>
      <c:txPr>
        <a:bodyPr rot="0" spcFirstLastPara="1" vertOverflow="ellipsis" vert="horz" wrap="square" anchor="ctr" anchorCtr="1"/>
        <a:lstStyle/>
        <a:p>
          <a:pPr>
            <a:defRPr altLang="zh-CN" sz="12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Dashboard!$B$14</c:f>
              <c:strCache>
                <c:ptCount val="1"/>
                <c:pt idx="0">
                  <c:v>Gross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Dashboard!$C$11:$H$11</c:f>
              <c:numCache>
                <c:formatCode>"FY"0</c:formatCode>
                <c:ptCount val="6"/>
                <c:pt idx="0">
                  <c:v>2020</c:v>
                </c:pt>
                <c:pt idx="1">
                  <c:v>2021</c:v>
                </c:pt>
                <c:pt idx="2">
                  <c:v>2022</c:v>
                </c:pt>
                <c:pt idx="3">
                  <c:v>2023</c:v>
                </c:pt>
                <c:pt idx="4">
                  <c:v>2024</c:v>
                </c:pt>
                <c:pt idx="5">
                  <c:v>2025</c:v>
                </c:pt>
              </c:numCache>
            </c:numRef>
          </c:cat>
          <c:val>
            <c:numRef>
              <c:f>Dashboard!$C$14:$H$14</c:f>
              <c:numCache>
                <c:formatCode>0.0%</c:formatCode>
                <c:ptCount val="6"/>
                <c:pt idx="0">
                  <c:v>0.30331600713282997</c:v>
                </c:pt>
                <c:pt idx="1">
                  <c:v>0.31472634944517586</c:v>
                </c:pt>
                <c:pt idx="2">
                  <c:v>0.31813676907829536</c:v>
                </c:pt>
                <c:pt idx="3">
                  <c:v>0.31979371398814022</c:v>
                </c:pt>
                <c:pt idx="4">
                  <c:v>0.3132744540358931</c:v>
                </c:pt>
                <c:pt idx="5">
                  <c:v>0.31347511071467693</c:v>
                </c:pt>
              </c:numCache>
            </c:numRef>
          </c:val>
          <c:smooth val="0"/>
          <c:extLst>
            <c:ext xmlns:c16="http://schemas.microsoft.com/office/drawing/2014/chart" uri="{C3380CC4-5D6E-409C-BE32-E72D297353CC}">
              <c16:uniqueId val="{00000001-06E2-42F0-B35C-206C7280BF3E}"/>
            </c:ext>
          </c:extLst>
        </c:ser>
        <c:ser>
          <c:idx val="1"/>
          <c:order val="1"/>
          <c:tx>
            <c:strRef>
              <c:f>Dashboard!$B$15</c:f>
              <c:strCache>
                <c:ptCount val="1"/>
                <c:pt idx="0">
                  <c:v>Operating (EBIT)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Dashboard!$C$11:$H$11</c:f>
              <c:numCache>
                <c:formatCode>"FY"0</c:formatCode>
                <c:ptCount val="6"/>
                <c:pt idx="0">
                  <c:v>2020</c:v>
                </c:pt>
                <c:pt idx="1">
                  <c:v>2021</c:v>
                </c:pt>
                <c:pt idx="2">
                  <c:v>2022</c:v>
                </c:pt>
                <c:pt idx="3">
                  <c:v>2023</c:v>
                </c:pt>
                <c:pt idx="4">
                  <c:v>2024</c:v>
                </c:pt>
                <c:pt idx="5">
                  <c:v>2025</c:v>
                </c:pt>
              </c:numCache>
            </c:numRef>
          </c:cat>
          <c:val>
            <c:numRef>
              <c:f>Dashboard!$C$15:$H$15</c:f>
              <c:numCache>
                <c:formatCode>0.0%</c:formatCode>
                <c:ptCount val="6"/>
                <c:pt idx="0">
                  <c:v>4.4864741814318779E-2</c:v>
                </c:pt>
                <c:pt idx="1">
                  <c:v>5.523791611811172E-2</c:v>
                </c:pt>
                <c:pt idx="2">
                  <c:v>5.9146255132380011E-2</c:v>
                </c:pt>
                <c:pt idx="3">
                  <c:v>6.2221774261284418E-2</c:v>
                </c:pt>
                <c:pt idx="4">
                  <c:v>5.7781547826954743E-2</c:v>
                </c:pt>
                <c:pt idx="5">
                  <c:v>6.9229926607514508E-2</c:v>
                </c:pt>
              </c:numCache>
            </c:numRef>
          </c:val>
          <c:smooth val="0"/>
          <c:extLst>
            <c:ext xmlns:c16="http://schemas.microsoft.com/office/drawing/2014/chart" uri="{C3380CC4-5D6E-409C-BE32-E72D297353CC}">
              <c16:uniqueId val="{00000002-06E2-42F0-B35C-206C7280BF3E}"/>
            </c:ext>
          </c:extLst>
        </c:ser>
        <c:ser>
          <c:idx val="2"/>
          <c:order val="2"/>
          <c:tx>
            <c:strRef>
              <c:f>Dashboard!$B$16</c:f>
              <c:strCache>
                <c:ptCount val="1"/>
                <c:pt idx="0">
                  <c:v>Net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Dashboard!$C$11:$H$11</c:f>
              <c:numCache>
                <c:formatCode>"FY"0</c:formatCode>
                <c:ptCount val="6"/>
                <c:pt idx="0">
                  <c:v>2020</c:v>
                </c:pt>
                <c:pt idx="1">
                  <c:v>2021</c:v>
                </c:pt>
                <c:pt idx="2">
                  <c:v>2022</c:v>
                </c:pt>
                <c:pt idx="3">
                  <c:v>2023</c:v>
                </c:pt>
                <c:pt idx="4">
                  <c:v>2024</c:v>
                </c:pt>
                <c:pt idx="5">
                  <c:v>2025</c:v>
                </c:pt>
              </c:numCache>
            </c:numRef>
          </c:cat>
          <c:val>
            <c:numRef>
              <c:f>Dashboard!$C$16:$H$16</c:f>
              <c:numCache>
                <c:formatCode>0.0%</c:formatCode>
                <c:ptCount val="6"/>
                <c:pt idx="0">
                  <c:v>2.2612588686117541E-2</c:v>
                </c:pt>
                <c:pt idx="1">
                  <c:v>3.7163814180929094E-2</c:v>
                </c:pt>
                <c:pt idx="2">
                  <c:v>3.5289537023927509E-2</c:v>
                </c:pt>
                <c:pt idx="3">
                  <c:v>3.6738396411832887E-2</c:v>
                </c:pt>
                <c:pt idx="4">
                  <c:v>3.7839096518803121E-2</c:v>
                </c:pt>
                <c:pt idx="5">
                  <c:v>4.2846188754831545E-2</c:v>
                </c:pt>
              </c:numCache>
            </c:numRef>
          </c:val>
          <c:smooth val="0"/>
          <c:extLst>
            <c:ext xmlns:c16="http://schemas.microsoft.com/office/drawing/2014/chart" uri="{C3380CC4-5D6E-409C-BE32-E72D297353CC}">
              <c16:uniqueId val="{00000003-06E2-42F0-B35C-206C7280BF3E}"/>
            </c:ext>
          </c:extLst>
        </c:ser>
        <c:dLbls>
          <c:showLegendKey val="0"/>
          <c:showVal val="0"/>
          <c:showCatName val="0"/>
          <c:showSerName val="0"/>
          <c:showPercent val="0"/>
          <c:showBubbleSize val="0"/>
        </c:dLbls>
        <c:marker val="1"/>
        <c:smooth val="0"/>
        <c:axId val="632286928"/>
        <c:axId val="114728688"/>
      </c:lineChart>
      <c:catAx>
        <c:axId val="632286928"/>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4728688"/>
        <c:crosses val="autoZero"/>
        <c:auto val="1"/>
        <c:lblAlgn val="ctr"/>
        <c:lblOffset val="100"/>
        <c:noMultiLvlLbl val="0"/>
      </c:catAx>
      <c:valAx>
        <c:axId val="11472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322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[Canadian_Grocers_Financial_Analysis.xlsx]Pivot!ptTrend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Trend of the line item chosen in the slicer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ln w="28575" cap="rnd">
            <a:solidFill>
              <a:srgbClr val="D62728"/>
            </a:solidFill>
            <a:round/>
          </a:ln>
          <a:effectLst/>
        </c:spPr>
        <c:marker>
          <c:symbol val="circle"/>
          <c:size val="5"/>
          <c:spPr>
            <a:solidFill>
              <a:srgbClr val="D62728"/>
            </a:solidFill>
            <a:ln w="9525">
              <a:solidFill>
                <a:srgbClr val="D6272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F77B4"/>
            </a:solidFill>
            <a:round/>
          </a:ln>
          <a:effectLst/>
        </c:spPr>
        <c:marker>
          <c:symbol val="circle"/>
          <c:size val="5"/>
          <c:spPr>
            <a:solidFill>
              <a:srgbClr val="1F77B4"/>
            </a:solidFill>
            <a:ln w="9525">
              <a:solidFill>
                <a:srgbClr val="1F77B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CA02C"/>
            </a:solidFill>
            <a:round/>
          </a:ln>
          <a:effectLst/>
        </c:spPr>
        <c:marker>
          <c:symbol val="circle"/>
          <c:size val="5"/>
          <c:spPr>
            <a:solidFill>
              <a:srgbClr val="2CA02C"/>
            </a:solidFill>
            <a:ln w="9525">
              <a:solidFill>
                <a:srgbClr val="2CA02C"/>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Pivot!$I$7:$I$8</c:f>
              <c:strCache>
                <c:ptCount val="1"/>
                <c:pt idx="0">
                  <c:v>Loblaw</c:v>
                </c:pt>
              </c:strCache>
            </c:strRef>
          </c:tx>
          <c:spPr>
            <a:ln w="28575" cap="rnd">
              <a:solidFill>
                <a:srgbClr val="D62728"/>
              </a:solidFill>
              <a:round/>
            </a:ln>
            <a:effectLst/>
          </c:spPr>
          <c:marker>
            <c:symbol val="circle"/>
            <c:size val="5"/>
            <c:spPr>
              <a:solidFill>
                <a:srgbClr val="D62728"/>
              </a:solidFill>
              <a:ln w="9525">
                <a:solidFill>
                  <a:srgbClr val="D62728"/>
                </a:solidFill>
                <a:prstDash val="solid"/>
              </a:ln>
              <a:effectLst/>
            </c:spPr>
          </c:marker>
          <c:cat>
            <c:strRef>
              <c:f>Pivot!$H$9:$H$14</c:f>
              <c:strCache>
                <c:ptCount val="6"/>
                <c:pt idx="0">
                  <c:v>2020</c:v>
                </c:pt>
                <c:pt idx="1">
                  <c:v>2021</c:v>
                </c:pt>
                <c:pt idx="2">
                  <c:v>2022</c:v>
                </c:pt>
                <c:pt idx="3">
                  <c:v>2023</c:v>
                </c:pt>
                <c:pt idx="4">
                  <c:v>2024</c:v>
                </c:pt>
                <c:pt idx="5">
                  <c:v>2025</c:v>
                </c:pt>
              </c:strCache>
            </c:strRef>
          </c:cat>
          <c:val>
            <c:numRef>
              <c:f>Pivot!$I$9:$I$14</c:f>
              <c:numCache>
                <c:formatCode>#,##0</c:formatCode>
                <c:ptCount val="6"/>
                <c:pt idx="0">
                  <c:v>52714</c:v>
                </c:pt>
                <c:pt idx="1">
                  <c:v>53170</c:v>
                </c:pt>
                <c:pt idx="2">
                  <c:v>56504</c:v>
                </c:pt>
                <c:pt idx="3">
                  <c:v>59529</c:v>
                </c:pt>
                <c:pt idx="4">
                  <c:v>60123</c:v>
                </c:pt>
                <c:pt idx="5">
                  <c:v>63903</c:v>
                </c:pt>
              </c:numCache>
            </c:numRef>
          </c:val>
          <c:smooth val="0"/>
          <c:extLst>
            <c:ext xmlns:c16="http://schemas.microsoft.com/office/drawing/2014/chart" uri="{C3380CC4-5D6E-409C-BE32-E72D297353CC}">
              <c16:uniqueId val="{00000001-E1A4-44AF-B51E-97BDFC542BD2}"/>
            </c:ext>
          </c:extLst>
        </c:ser>
        <c:ser>
          <c:idx val="1"/>
          <c:order val="1"/>
          <c:tx>
            <c:strRef>
              <c:f>Pivot!$J$7:$J$8</c:f>
              <c:strCache>
                <c:ptCount val="1"/>
                <c:pt idx="0">
                  <c:v>Metro</c:v>
                </c:pt>
              </c:strCache>
            </c:strRef>
          </c:tx>
          <c:spPr>
            <a:ln w="28575" cap="rnd">
              <a:solidFill>
                <a:srgbClr val="1F77B4"/>
              </a:solidFill>
              <a:round/>
            </a:ln>
            <a:effectLst/>
          </c:spPr>
          <c:marker>
            <c:symbol val="circle"/>
            <c:size val="5"/>
            <c:spPr>
              <a:solidFill>
                <a:srgbClr val="1F77B4"/>
              </a:solidFill>
              <a:ln w="9525">
                <a:solidFill>
                  <a:srgbClr val="1F77B4"/>
                </a:solidFill>
                <a:prstDash val="solid"/>
              </a:ln>
              <a:effectLst/>
            </c:spPr>
          </c:marker>
          <c:cat>
            <c:strRef>
              <c:f>Pivot!$H$9:$H$14</c:f>
              <c:strCache>
                <c:ptCount val="6"/>
                <c:pt idx="0">
                  <c:v>2020</c:v>
                </c:pt>
                <c:pt idx="1">
                  <c:v>2021</c:v>
                </c:pt>
                <c:pt idx="2">
                  <c:v>2022</c:v>
                </c:pt>
                <c:pt idx="3">
                  <c:v>2023</c:v>
                </c:pt>
                <c:pt idx="4">
                  <c:v>2024</c:v>
                </c:pt>
                <c:pt idx="5">
                  <c:v>2025</c:v>
                </c:pt>
              </c:strCache>
            </c:strRef>
          </c:cat>
          <c:val>
            <c:numRef>
              <c:f>Pivot!$J$9:$J$14</c:f>
              <c:numCache>
                <c:formatCode>#,##0</c:formatCode>
                <c:ptCount val="6"/>
                <c:pt idx="0">
                  <c:v>17997.5</c:v>
                </c:pt>
                <c:pt idx="1">
                  <c:v>18283</c:v>
                </c:pt>
                <c:pt idx="2">
                  <c:v>18888.900000000001</c:v>
                </c:pt>
                <c:pt idx="3">
                  <c:v>20724.599999999999</c:v>
                </c:pt>
                <c:pt idx="4">
                  <c:v>21219.9</c:v>
                </c:pt>
                <c:pt idx="5">
                  <c:v>22006.7</c:v>
                </c:pt>
              </c:numCache>
            </c:numRef>
          </c:val>
          <c:smooth val="0"/>
          <c:extLst>
            <c:ext xmlns:c16="http://schemas.microsoft.com/office/drawing/2014/chart" uri="{C3380CC4-5D6E-409C-BE32-E72D297353CC}">
              <c16:uniqueId val="{00000002-E1A4-44AF-B51E-97BDFC542BD2}"/>
            </c:ext>
          </c:extLst>
        </c:ser>
        <c:ser>
          <c:idx val="2"/>
          <c:order val="2"/>
          <c:tx>
            <c:strRef>
              <c:f>Pivot!$K$7:$K$8</c:f>
              <c:strCache>
                <c:ptCount val="1"/>
                <c:pt idx="0">
                  <c:v>Empire</c:v>
                </c:pt>
              </c:strCache>
            </c:strRef>
          </c:tx>
          <c:spPr>
            <a:ln w="28575" cap="rnd">
              <a:solidFill>
                <a:srgbClr val="2CA02C"/>
              </a:solidFill>
              <a:round/>
            </a:ln>
            <a:effectLst/>
          </c:spPr>
          <c:marker>
            <c:symbol val="circle"/>
            <c:size val="5"/>
            <c:spPr>
              <a:solidFill>
                <a:srgbClr val="2CA02C"/>
              </a:solidFill>
              <a:ln w="9525">
                <a:solidFill>
                  <a:srgbClr val="2CA02C"/>
                </a:solidFill>
                <a:prstDash val="solid"/>
              </a:ln>
              <a:effectLst/>
            </c:spPr>
          </c:marker>
          <c:cat>
            <c:strRef>
              <c:f>Pivot!$H$9:$H$14</c:f>
              <c:strCache>
                <c:ptCount val="6"/>
                <c:pt idx="0">
                  <c:v>2020</c:v>
                </c:pt>
                <c:pt idx="1">
                  <c:v>2021</c:v>
                </c:pt>
                <c:pt idx="2">
                  <c:v>2022</c:v>
                </c:pt>
                <c:pt idx="3">
                  <c:v>2023</c:v>
                </c:pt>
                <c:pt idx="4">
                  <c:v>2024</c:v>
                </c:pt>
                <c:pt idx="5">
                  <c:v>2025</c:v>
                </c:pt>
              </c:strCache>
            </c:strRef>
          </c:cat>
          <c:val>
            <c:numRef>
              <c:f>Pivot!$K$9:$K$14</c:f>
              <c:numCache>
                <c:formatCode>#,##0</c:formatCode>
                <c:ptCount val="6"/>
                <c:pt idx="0">
                  <c:v>26588.2</c:v>
                </c:pt>
                <c:pt idx="1">
                  <c:v>28268.3</c:v>
                </c:pt>
                <c:pt idx="2">
                  <c:v>30162.400000000001</c:v>
                </c:pt>
                <c:pt idx="3">
                  <c:v>30478.1</c:v>
                </c:pt>
                <c:pt idx="4">
                  <c:v>30733</c:v>
                </c:pt>
                <c:pt idx="5">
                  <c:v>31277</c:v>
                </c:pt>
              </c:numCache>
            </c:numRef>
          </c:val>
          <c:smooth val="0"/>
          <c:extLst>
            <c:ext xmlns:c16="http://schemas.microsoft.com/office/drawing/2014/chart" uri="{C3380CC4-5D6E-409C-BE32-E72D297353CC}">
              <c16:uniqueId val="{00000003-E1A4-44AF-B51E-97BDFC542BD2}"/>
            </c:ext>
          </c:extLst>
        </c:ser>
        <c:dLbls>
          <c:showLegendKey val="0"/>
          <c:showVal val="0"/>
          <c:showCatName val="0"/>
          <c:showSerName val="0"/>
          <c:showPercent val="0"/>
          <c:showBubbleSize val="0"/>
        </c:dLbls>
        <c:marker val="1"/>
        <c:smooth val="0"/>
        <c:axId val="724024160"/>
        <c:axId val="114615888"/>
      </c:lineChart>
      <c:catAx>
        <c:axId val="72402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4615888"/>
        <c:crosses val="autoZero"/>
        <c:auto val="1"/>
        <c:lblAlgn val="ctr"/>
        <c:lblOffset val="100"/>
        <c:noMultiLvlLbl val="0"/>
      </c:catAx>
      <c:valAx>
        <c:axId val="11461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240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5</xdr:col>
      <xdr:colOff>520700</xdr:colOff>
      <xdr:row>42</xdr:row>
      <xdr:rowOff>44450</xdr:rowOff>
    </xdr:to>
    <xdr:graphicFrame macro="">
      <xdr:nvGraphicFramePr>
        <xdr:cNvPr id="2" name="图表 1">
          <a:extLst>
            <a:ext uri="{FF2B5EF4-FFF2-40B4-BE49-F238E27FC236}">
              <a16:creationId xmlns:a16="http://schemas.microsoft.com/office/drawing/2014/main" id="{58860672-2523-6445-E3B2-036F11A3E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673100</xdr:colOff>
      <xdr:row>25</xdr:row>
      <xdr:rowOff>0</xdr:rowOff>
    </xdr:from>
    <xdr:to>
      <xdr:col>13</xdr:col>
      <xdr:colOff>146050</xdr:colOff>
      <xdr:row>42</xdr:row>
      <xdr:rowOff>44450</xdr:rowOff>
    </xdr:to>
    <xdr:graphicFrame macro="">
      <xdr:nvGraphicFramePr>
        <xdr:cNvPr id="3" name="图表 2">
          <a:extLst>
            <a:ext uri="{FF2B5EF4-FFF2-40B4-BE49-F238E27FC236}">
              <a16:creationId xmlns:a16="http://schemas.microsoft.com/office/drawing/2014/main" id="{646F8828-D6A0-CB08-8255-6D9D3577F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43</xdr:row>
      <xdr:rowOff>12700</xdr:rowOff>
    </xdr:from>
    <xdr:to>
      <xdr:col>5</xdr:col>
      <xdr:colOff>520700</xdr:colOff>
      <xdr:row>60</xdr:row>
      <xdr:rowOff>57150</xdr:rowOff>
    </xdr:to>
    <xdr:graphicFrame macro="">
      <xdr:nvGraphicFramePr>
        <xdr:cNvPr id="4" name="图表 3">
          <a:extLst>
            <a:ext uri="{FF2B5EF4-FFF2-40B4-BE49-F238E27FC236}">
              <a16:creationId xmlns:a16="http://schemas.microsoft.com/office/drawing/2014/main" id="{0E193441-C469-5692-A0F5-FC41CE922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673100</xdr:colOff>
      <xdr:row>43</xdr:row>
      <xdr:rowOff>12700</xdr:rowOff>
    </xdr:from>
    <xdr:to>
      <xdr:col>13</xdr:col>
      <xdr:colOff>146050</xdr:colOff>
      <xdr:row>60</xdr:row>
      <xdr:rowOff>57150</xdr:rowOff>
    </xdr:to>
    <xdr:graphicFrame macro="">
      <xdr:nvGraphicFramePr>
        <xdr:cNvPr id="5" name="图表 4">
          <a:extLst>
            <a:ext uri="{FF2B5EF4-FFF2-40B4-BE49-F238E27FC236}">
              <a16:creationId xmlns:a16="http://schemas.microsoft.com/office/drawing/2014/main" id="{E92E6321-AF0D-1AA5-5CD5-D027B17B9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3</xdr:row>
      <xdr:rowOff>0</xdr:rowOff>
    </xdr:from>
    <xdr:to>
      <xdr:col>18</xdr:col>
      <xdr:colOff>101600</xdr:colOff>
      <xdr:row>21</xdr:row>
      <xdr:rowOff>152400</xdr:rowOff>
    </xdr:to>
    <xdr:graphicFrame macro="">
      <xdr:nvGraphicFramePr>
        <xdr:cNvPr id="6" name="图表 5">
          <a:extLst>
            <a:ext uri="{FF2B5EF4-FFF2-40B4-BE49-F238E27FC236}">
              <a16:creationId xmlns:a16="http://schemas.microsoft.com/office/drawing/2014/main" id="{BC1630ED-410A-B050-5361-BFF39AB5C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16</xdr:row>
      <xdr:rowOff>0</xdr:rowOff>
    </xdr:from>
    <xdr:to>
      <xdr:col>15</xdr:col>
      <xdr:colOff>6350</xdr:colOff>
      <xdr:row>32</xdr:row>
      <xdr:rowOff>101600</xdr:rowOff>
    </xdr:to>
    <xdr:graphicFrame macro="">
      <xdr:nvGraphicFramePr>
        <xdr:cNvPr id="2" name="图表 1">
          <a:extLst>
            <a:ext uri="{FF2B5EF4-FFF2-40B4-BE49-F238E27FC236}">
              <a16:creationId xmlns:a16="http://schemas.microsoft.com/office/drawing/2014/main" id="{BBDC7FB9-91C5-446D-1EE3-D8F98304E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3</xdr:row>
      <xdr:rowOff>0</xdr:rowOff>
    </xdr:from>
    <xdr:to>
      <xdr:col>16</xdr:col>
      <xdr:colOff>76200</xdr:colOff>
      <xdr:row>16</xdr:row>
      <xdr:rowOff>146050</xdr:rowOff>
    </xdr:to>
    <mc:AlternateContent xmlns:mc="http://schemas.openxmlformats.org/markup-compatibility/2006" xmlns:a14="http://schemas.microsoft.com/office/drawing/2010/main">
      <mc:Choice Requires="a14">
        <xdr:graphicFrame macro="">
          <xdr:nvGraphicFramePr>
            <xdr:cNvPr id="3" name="slFiscalYear">
              <a:extLst>
                <a:ext uri="{FF2B5EF4-FFF2-40B4-BE49-F238E27FC236}">
                  <a16:creationId xmlns:a16="http://schemas.microsoft.com/office/drawing/2014/main" id="{B4317484-3353-C23A-CD9F-B90E7AE0FCE8}"/>
                </a:ext>
              </a:extLst>
            </xdr:cNvPr>
            <xdr:cNvGraphicFramePr/>
          </xdr:nvGraphicFramePr>
          <xdr:xfrm>
            <a:off x="0" y="0"/>
            <a:ext cx="0" cy="0"/>
          </xdr:xfrm>
          <a:graphic>
            <a:graphicData uri="http://schemas.microsoft.com/office/drawing/2010/slicer">
              <sle:slicer xmlns:sle="http://schemas.microsoft.com/office/drawing/2010/slicer" name="slFiscalYear"/>
            </a:graphicData>
          </a:graphic>
        </xdr:graphicFrame>
      </mc:Choice>
      <mc:Fallback xmlns="">
        <xdr:sp macro="" textlink="">
          <xdr:nvSpPr>
            <xdr:cNvPr id="0" name=""/>
            <xdr:cNvSpPr>
              <a:spLocks noTextEdit="1"/>
            </xdr:cNvSpPr>
          </xdr:nvSpPr>
          <xdr:spPr>
            <a:xfrm>
              <a:off x="11645900" y="635000"/>
              <a:ext cx="1905000" cy="2540000"/>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13</xdr:col>
      <xdr:colOff>0</xdr:colOff>
      <xdr:row>16</xdr:row>
      <xdr:rowOff>0</xdr:rowOff>
    </xdr:from>
    <xdr:to>
      <xdr:col>17</xdr:col>
      <xdr:colOff>482600</xdr:colOff>
      <xdr:row>38</xdr:row>
      <xdr:rowOff>139700</xdr:rowOff>
    </xdr:to>
    <mc:AlternateContent xmlns:mc="http://schemas.openxmlformats.org/markup-compatibility/2006" xmlns:a14="http://schemas.microsoft.com/office/drawing/2010/main">
      <mc:Choice Requires="a14">
        <xdr:graphicFrame macro="">
          <xdr:nvGraphicFramePr>
            <xdr:cNvPr id="4" name="slLineItem">
              <a:extLst>
                <a:ext uri="{FF2B5EF4-FFF2-40B4-BE49-F238E27FC236}">
                  <a16:creationId xmlns:a16="http://schemas.microsoft.com/office/drawing/2014/main" id="{B12C7C62-B0CA-C32E-F207-0BAFB54473F8}"/>
                </a:ext>
              </a:extLst>
            </xdr:cNvPr>
            <xdr:cNvGraphicFramePr/>
          </xdr:nvGraphicFramePr>
          <xdr:xfrm>
            <a:off x="0" y="0"/>
            <a:ext cx="0" cy="0"/>
          </xdr:xfrm>
          <a:graphic>
            <a:graphicData uri="http://schemas.microsoft.com/office/drawing/2010/slicer">
              <sle:slicer xmlns:sle="http://schemas.microsoft.com/office/drawing/2010/slicer" name="slLineItem"/>
            </a:graphicData>
          </a:graphic>
        </xdr:graphicFrame>
      </mc:Choice>
      <mc:Fallback xmlns="">
        <xdr:sp macro="" textlink="">
          <xdr:nvSpPr>
            <xdr:cNvPr id="0" name=""/>
            <xdr:cNvSpPr>
              <a:spLocks noTextEdit="1"/>
            </xdr:cNvSpPr>
          </xdr:nvSpPr>
          <xdr:spPr>
            <a:xfrm>
              <a:off x="11645900" y="3028950"/>
              <a:ext cx="2921000" cy="4191000"/>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anduoming" refreshedDate="46323.789228587964" createdVersion="5" refreshedVersion="8" minRefreshableVersion="3" recordCount="342" xr:uid="{54FF70D2-0B92-44A3-93B4-2365986F56CC}">
  <cacheSource type="worksheet">
    <worksheetSource name="tblData"/>
  </cacheSource>
  <cacheFields count="9">
    <cacheField name="Company" numFmtId="0">
      <sharedItems count="3">
        <s v="Loblaw"/>
        <s v="Metro"/>
        <s v="Empire"/>
      </sharedItems>
    </cacheField>
    <cacheField name="Fiscal year" numFmtId="0">
      <sharedItems containsSemiMixedTypes="0" containsString="0" containsNumber="1" containsInteger="1" minValue="2020" maxValue="2025" count="6">
        <n v="2020"/>
        <n v="2021"/>
        <n v="2022"/>
        <n v="2023"/>
        <n v="2024"/>
        <n v="2025"/>
      </sharedItems>
    </cacheField>
    <cacheField name="Statement" numFmtId="0">
      <sharedItems/>
    </cacheField>
    <cacheField name="Line item as reported" numFmtId="0">
      <sharedItems/>
    </cacheField>
    <cacheField name="Map key" numFmtId="0">
      <sharedItems/>
    </cacheField>
    <cacheField name="Standard line item" numFmtId="0">
      <sharedItems count="19">
        <s v="Revenue"/>
        <s v="Cost of sales"/>
        <s v="Net finance costs"/>
        <s v="Earnings before income taxes"/>
        <s v="Income taxes"/>
        <s v="Net earnings from discontinued operations"/>
        <s v="Net earnings"/>
        <s v="Net earnings attributable to shareholders"/>
        <s v="Inventories"/>
        <s v="Total current assets"/>
        <s v="Total assets"/>
        <s v="Total current liabilities"/>
        <s v="Total liabilities"/>
        <s v="Total equity"/>
        <s v="Equity attributable to shareholders"/>
        <s v="Cash from operating activities"/>
        <s v="Purchases of fixed assets"/>
        <s v="Purchases of intangible assets"/>
        <s v="Lease principal payments"/>
      </sharedItems>
    </cacheField>
    <cacheField name="Amount" numFmtId="178">
      <sharedItems containsSemiMixedTypes="0" containsString="0" containsNumber="1" minValue="0" maxValue="63903"/>
    </cacheField>
    <cacheField name="Source document" numFmtId="0">
      <sharedItems/>
    </cacheField>
    <cacheField name="PDF page" numFmtId="0">
      <sharedItems containsSemiMixedTypes="0" containsString="0" containsNumber="1" containsInteger="1" minValue="43" maxValue="106"/>
    </cacheField>
  </cacheFields>
  <extLst>
    <ext xmlns:x14="http://schemas.microsoft.com/office/spreadsheetml/2009/9/main" uri="{725AE2AE-9491-48be-B2B4-4EB974FC3084}">
      <x14:pivotCacheDefinition pivotCacheId="135893336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x v="0"/>
    <x v="0"/>
    <s v="IS"/>
    <s v="Revenue"/>
    <s v="Loblaw|Revenue"/>
    <x v="0"/>
    <n v="52714"/>
    <s v="LCL_2021_AR.pdf"/>
    <n v="100"/>
  </r>
  <r>
    <x v="0"/>
    <x v="0"/>
    <s v="IS"/>
    <s v="Cost of merchandise inventories sold"/>
    <s v="Loblaw|Cost of merchandise inventories sold"/>
    <x v="1"/>
    <n v="36725"/>
    <s v="LCL_2021_AR.pdf"/>
    <n v="100"/>
  </r>
  <r>
    <x v="0"/>
    <x v="0"/>
    <s v="IS"/>
    <s v="Net interest expense and other financing charges"/>
    <s v="Loblaw|Net interest expense and other financing charges"/>
    <x v="2"/>
    <n v="742"/>
    <s v="LCL_2021_AR.pdf"/>
    <n v="100"/>
  </r>
  <r>
    <x v="0"/>
    <x v="0"/>
    <s v="IS"/>
    <s v="Earnings before income taxes"/>
    <s v="Loblaw|Earnings before income taxes"/>
    <x v="3"/>
    <n v="1623"/>
    <s v="LCL_2021_AR.pdf"/>
    <n v="100"/>
  </r>
  <r>
    <x v="0"/>
    <x v="0"/>
    <s v="IS"/>
    <s v="Income taxes"/>
    <s v="Loblaw|Income taxes"/>
    <x v="4"/>
    <n v="431"/>
    <s v="LCL_2021_AR.pdf"/>
    <n v="100"/>
  </r>
  <r>
    <x v="0"/>
    <x v="0"/>
    <s v="IS"/>
    <s v="No discontinued operations"/>
    <s v="Loblaw|No discontinued operations"/>
    <x v="5"/>
    <n v="0"/>
    <s v="LCL_2021_AR.pdf"/>
    <n v="100"/>
  </r>
  <r>
    <x v="0"/>
    <x v="0"/>
    <s v="IS"/>
    <s v="Net earnings"/>
    <s v="Loblaw|Net earnings"/>
    <x v="6"/>
    <n v="1192"/>
    <s v="LCL_2021_AR.pdf"/>
    <n v="100"/>
  </r>
  <r>
    <x v="0"/>
    <x v="0"/>
    <s v="IS"/>
    <s v="Shareholders of the Company"/>
    <s v="Loblaw|Shareholders of the Company"/>
    <x v="7"/>
    <n v="1108"/>
    <s v="LCL_2021_AR.pdf"/>
    <n v="100"/>
  </r>
  <r>
    <x v="0"/>
    <x v="0"/>
    <s v="BS"/>
    <s v="Inventories"/>
    <s v="Loblaw|Inventories"/>
    <x v="8"/>
    <n v="5195"/>
    <s v="LCL_2021_AR.pdf"/>
    <n v="103"/>
  </r>
  <r>
    <x v="0"/>
    <x v="0"/>
    <s v="BS"/>
    <s v="Total current assets"/>
    <s v="Loblaw|Total current assets"/>
    <x v="9"/>
    <n v="11542"/>
    <s v="LCL_2021_AR.pdf"/>
    <n v="103"/>
  </r>
  <r>
    <x v="0"/>
    <x v="0"/>
    <s v="BS"/>
    <s v="Total assets"/>
    <s v="Loblaw|Total assets"/>
    <x v="10"/>
    <n v="35873"/>
    <s v="LCL_2021_AR.pdf"/>
    <n v="103"/>
  </r>
  <r>
    <x v="0"/>
    <x v="0"/>
    <s v="BS"/>
    <s v="Total current liabilities"/>
    <s v="Loblaw|Total current liabilities"/>
    <x v="11"/>
    <n v="8763"/>
    <s v="LCL_2021_AR.pdf"/>
    <n v="103"/>
  </r>
  <r>
    <x v="0"/>
    <x v="0"/>
    <s v="BS"/>
    <s v="Total liabilities"/>
    <s v="Loblaw|Total liabilities"/>
    <x v="12"/>
    <n v="24754"/>
    <s v="LCL_2021_AR.pdf"/>
    <n v="103"/>
  </r>
  <r>
    <x v="0"/>
    <x v="0"/>
    <s v="BS"/>
    <s v="Total equity"/>
    <s v="Loblaw|Total equity"/>
    <x v="13"/>
    <n v="11119"/>
    <s v="LCL_2021_AR.pdf"/>
    <n v="103"/>
  </r>
  <r>
    <x v="0"/>
    <x v="0"/>
    <s v="BS"/>
    <s v="Total equity attributable to shareholders of the Company"/>
    <s v="Loblaw|Total equity attributable to shareholders of the Company"/>
    <x v="14"/>
    <n v="10988"/>
    <s v="LCL_2021_AR.pdf"/>
    <n v="103"/>
  </r>
  <r>
    <x v="0"/>
    <x v="0"/>
    <s v="CF"/>
    <s v="Cash flows from operating activities"/>
    <s v="Loblaw|Cash flows from operating activities"/>
    <x v="15"/>
    <n v="5191"/>
    <s v="LCL_2021_AR.pdf"/>
    <n v="104"/>
  </r>
  <r>
    <x v="0"/>
    <x v="0"/>
    <s v="CF"/>
    <s v="Fixed asset purchases"/>
    <s v="Loblaw|Fixed asset purchases"/>
    <x v="16"/>
    <n v="820"/>
    <s v="LCL_2021_AR.pdf"/>
    <n v="104"/>
  </r>
  <r>
    <x v="0"/>
    <x v="0"/>
    <s v="CF"/>
    <s v="Intangible asset additions"/>
    <s v="Loblaw|Intangible asset additions"/>
    <x v="17"/>
    <n v="338"/>
    <s v="LCL_2021_AR.pdf"/>
    <n v="104"/>
  </r>
  <r>
    <x v="0"/>
    <x v="0"/>
    <s v="CF"/>
    <s v="Cash rent paid on lease liabilities - Principal"/>
    <s v="Loblaw|Cash rent paid on lease liabilities - Principal"/>
    <x v="18"/>
    <n v="1024"/>
    <s v="LCL_2021_AR.pdf"/>
    <n v="104"/>
  </r>
  <r>
    <x v="0"/>
    <x v="1"/>
    <s v="IS"/>
    <s v="Revenue"/>
    <s v="Loblaw|Revenue"/>
    <x v="0"/>
    <n v="53170"/>
    <s v="LCL_2021_AR.pdf"/>
    <n v="100"/>
  </r>
  <r>
    <x v="0"/>
    <x v="1"/>
    <s v="IS"/>
    <s v="Cost of merchandise inventories sold"/>
    <s v="Loblaw|Cost of merchandise inventories sold"/>
    <x v="1"/>
    <n v="36436"/>
    <s v="LCL_2021_AR.pdf"/>
    <n v="100"/>
  </r>
  <r>
    <x v="0"/>
    <x v="1"/>
    <s v="IS"/>
    <s v="Net interest expense and other financing charges"/>
    <s v="Loblaw|Net interest expense and other financing charges"/>
    <x v="2"/>
    <n v="495"/>
    <s v="LCL_2021_AR.pdf"/>
    <n v="100"/>
  </r>
  <r>
    <x v="0"/>
    <x v="1"/>
    <s v="IS"/>
    <s v="Earnings before income taxes"/>
    <s v="Loblaw|Earnings before income taxes"/>
    <x v="3"/>
    <n v="2442"/>
    <s v="LCL_2021_AR.pdf"/>
    <n v="100"/>
  </r>
  <r>
    <x v="0"/>
    <x v="1"/>
    <s v="IS"/>
    <s v="Income taxes"/>
    <s v="Loblaw|Income taxes"/>
    <x v="4"/>
    <n v="466"/>
    <s v="LCL_2021_AR.pdf"/>
    <n v="100"/>
  </r>
  <r>
    <x v="0"/>
    <x v="1"/>
    <s v="IS"/>
    <s v="No discontinued operations"/>
    <s v="Loblaw|No discontinued operations"/>
    <x v="5"/>
    <n v="0"/>
    <s v="LCL_2021_AR.pdf"/>
    <n v="100"/>
  </r>
  <r>
    <x v="0"/>
    <x v="1"/>
    <s v="IS"/>
    <s v="Net earnings"/>
    <s v="Loblaw|Net earnings"/>
    <x v="6"/>
    <n v="1976"/>
    <s v="LCL_2021_AR.pdf"/>
    <n v="100"/>
  </r>
  <r>
    <x v="0"/>
    <x v="1"/>
    <s v="IS"/>
    <s v="Shareholders of the Company"/>
    <s v="Loblaw|Shareholders of the Company"/>
    <x v="7"/>
    <n v="1875"/>
    <s v="LCL_2021_AR.pdf"/>
    <n v="100"/>
  </r>
  <r>
    <x v="0"/>
    <x v="1"/>
    <s v="BS"/>
    <s v="Inventories"/>
    <s v="Loblaw|Inventories"/>
    <x v="8"/>
    <n v="5166"/>
    <s v="LCL_2021_AR.pdf"/>
    <n v="103"/>
  </r>
  <r>
    <x v="0"/>
    <x v="1"/>
    <s v="BS"/>
    <s v="Total current assets"/>
    <s v="Loblaw|Total current assets"/>
    <x v="9"/>
    <n v="12637"/>
    <s v="LCL_2021_AR.pdf"/>
    <n v="103"/>
  </r>
  <r>
    <x v="0"/>
    <x v="1"/>
    <s v="BS"/>
    <s v="Total assets"/>
    <s v="Loblaw|Total assets"/>
    <x v="10"/>
    <n v="36614"/>
    <s v="LCL_2021_AR.pdf"/>
    <n v="103"/>
  </r>
  <r>
    <x v="0"/>
    <x v="1"/>
    <s v="BS"/>
    <s v="Total current liabilities"/>
    <s v="Loblaw|Total current liabilities"/>
    <x v="11"/>
    <n v="9196"/>
    <s v="LCL_2021_AR.pdf"/>
    <n v="103"/>
  </r>
  <r>
    <x v="0"/>
    <x v="1"/>
    <s v="BS"/>
    <s v="Total liabilities"/>
    <s v="Loblaw|Total liabilities"/>
    <x v="12"/>
    <n v="24877"/>
    <s v="LCL_2021_AR.pdf"/>
    <n v="103"/>
  </r>
  <r>
    <x v="0"/>
    <x v="1"/>
    <s v="BS"/>
    <s v="Total equity"/>
    <s v="Loblaw|Total equity"/>
    <x v="13"/>
    <n v="11737"/>
    <s v="LCL_2021_AR.pdf"/>
    <n v="103"/>
  </r>
  <r>
    <x v="0"/>
    <x v="1"/>
    <s v="BS"/>
    <s v="Total equity attributable to shareholders of the Company"/>
    <s v="Loblaw|Total equity attributable to shareholders of the Company"/>
    <x v="14"/>
    <n v="11573"/>
    <s v="LCL_2021_AR.pdf"/>
    <n v="103"/>
  </r>
  <r>
    <x v="0"/>
    <x v="1"/>
    <s v="CF"/>
    <s v="Cash flows from operating activities"/>
    <s v="Loblaw|Cash flows from operating activities"/>
    <x v="15"/>
    <n v="4827"/>
    <s v="LCL_2021_AR.pdf"/>
    <n v="104"/>
  </r>
  <r>
    <x v="0"/>
    <x v="1"/>
    <s v="CF"/>
    <s v="Fixed asset purchases"/>
    <s v="Loblaw|Fixed asset purchases"/>
    <x v="16"/>
    <n v="803"/>
    <s v="LCL_2021_AR.pdf"/>
    <n v="104"/>
  </r>
  <r>
    <x v="0"/>
    <x v="1"/>
    <s v="CF"/>
    <s v="Intangible asset additions"/>
    <s v="Loblaw|Intangible asset additions"/>
    <x v="17"/>
    <n v="379"/>
    <s v="LCL_2021_AR.pdf"/>
    <n v="104"/>
  </r>
  <r>
    <x v="0"/>
    <x v="1"/>
    <s v="CF"/>
    <s v="Cash rent paid on lease liabilities - Principal"/>
    <s v="Loblaw|Cash rent paid on lease liabilities - Principal"/>
    <x v="18"/>
    <n v="1020"/>
    <s v="LCL_2021_AR.pdf"/>
    <n v="104"/>
  </r>
  <r>
    <x v="0"/>
    <x v="2"/>
    <s v="IS"/>
    <s v="Revenue"/>
    <s v="Loblaw|Revenue"/>
    <x v="0"/>
    <n v="56504"/>
    <s v="LCL_2023_AR.pdf"/>
    <n v="93"/>
  </r>
  <r>
    <x v="0"/>
    <x v="2"/>
    <s v="IS"/>
    <s v="Cost of sales"/>
    <s v="Loblaw|Cost of sales"/>
    <x v="1"/>
    <n v="38528"/>
    <s v="LCL_2023_AR.pdf"/>
    <n v="93"/>
  </r>
  <r>
    <x v="0"/>
    <x v="2"/>
    <s v="IS"/>
    <s v="Net interest expense and other financing charges"/>
    <s v="Loblaw|Net interest expense and other financing charges"/>
    <x v="2"/>
    <n v="683"/>
    <s v="LCL_2023_AR.pdf"/>
    <n v="93"/>
  </r>
  <r>
    <x v="0"/>
    <x v="2"/>
    <s v="IS"/>
    <s v="Earnings before income taxes"/>
    <s v="Loblaw|Earnings before income taxes"/>
    <x v="3"/>
    <n v="2659"/>
    <s v="LCL_2023_AR.pdf"/>
    <n v="93"/>
  </r>
  <r>
    <x v="0"/>
    <x v="2"/>
    <s v="IS"/>
    <s v="Income taxes"/>
    <s v="Loblaw|Income taxes"/>
    <x v="4"/>
    <n v="665"/>
    <s v="LCL_2023_AR.pdf"/>
    <n v="93"/>
  </r>
  <r>
    <x v="0"/>
    <x v="2"/>
    <s v="IS"/>
    <s v="No discontinued operations"/>
    <s v="Loblaw|No discontinued operations"/>
    <x v="5"/>
    <n v="0"/>
    <s v="LCL_2023_AR.pdf"/>
    <n v="93"/>
  </r>
  <r>
    <x v="0"/>
    <x v="2"/>
    <s v="IS"/>
    <s v="Net earnings"/>
    <s v="Loblaw|Net earnings"/>
    <x v="6"/>
    <n v="1994"/>
    <s v="LCL_2023_AR.pdf"/>
    <n v="93"/>
  </r>
  <r>
    <x v="0"/>
    <x v="2"/>
    <s v="IS"/>
    <s v="Shareholders of the Company"/>
    <s v="Loblaw|Shareholders of the Company"/>
    <x v="7"/>
    <n v="1921"/>
    <s v="LCL_2023_AR.pdf"/>
    <n v="93"/>
  </r>
  <r>
    <x v="0"/>
    <x v="2"/>
    <s v="BS"/>
    <s v="Inventories"/>
    <s v="Loblaw|Inventories"/>
    <x v="8"/>
    <n v="5855"/>
    <s v="LCL_2023_AR.pdf"/>
    <n v="96"/>
  </r>
  <r>
    <x v="0"/>
    <x v="2"/>
    <s v="BS"/>
    <s v="Total current assets"/>
    <s v="Loblaw|Total current assets"/>
    <x v="9"/>
    <n v="13376"/>
    <s v="LCL_2023_AR.pdf"/>
    <n v="96"/>
  </r>
  <r>
    <x v="0"/>
    <x v="2"/>
    <s v="BS"/>
    <s v="Total assets"/>
    <s v="Loblaw|Total assets"/>
    <x v="10"/>
    <n v="38147"/>
    <s v="LCL_2023_AR.pdf"/>
    <n v="96"/>
  </r>
  <r>
    <x v="0"/>
    <x v="2"/>
    <s v="BS"/>
    <s v="Total current liabilities"/>
    <s v="Loblaw|Total current liabilities"/>
    <x v="11"/>
    <n v="10098"/>
    <s v="LCL_2023_AR.pdf"/>
    <n v="96"/>
  </r>
  <r>
    <x v="0"/>
    <x v="2"/>
    <s v="BS"/>
    <s v="Total liabilities"/>
    <s v="Loblaw|Total liabilities"/>
    <x v="12"/>
    <n v="26691"/>
    <s v="LCL_2023_AR.pdf"/>
    <n v="96"/>
  </r>
  <r>
    <x v="0"/>
    <x v="2"/>
    <s v="BS"/>
    <s v="Total equity"/>
    <s v="Loblaw|Total equity"/>
    <x v="13"/>
    <n v="11456"/>
    <s v="LCL_2023_AR.pdf"/>
    <n v="96"/>
  </r>
  <r>
    <x v="0"/>
    <x v="2"/>
    <s v="BS"/>
    <s v="Total equity attributable to shareholders of the Company"/>
    <s v="Loblaw|Total equity attributable to shareholders of the Company"/>
    <x v="14"/>
    <n v="11299"/>
    <s v="LCL_2023_AR.pdf"/>
    <n v="96"/>
  </r>
  <r>
    <x v="0"/>
    <x v="2"/>
    <s v="CF"/>
    <s v="Cash flows from operating activities"/>
    <s v="Loblaw|Cash flows from operating activities"/>
    <x v="15"/>
    <n v="4755"/>
    <s v="LCL_2023_AR.pdf"/>
    <n v="97"/>
  </r>
  <r>
    <x v="0"/>
    <x v="2"/>
    <s v="CF"/>
    <s v="Fixed asset purchases"/>
    <s v="Loblaw|Fixed asset purchases"/>
    <x v="16"/>
    <n v="1152"/>
    <s v="LCL_2023_AR.pdf"/>
    <n v="97"/>
  </r>
  <r>
    <x v="0"/>
    <x v="2"/>
    <s v="CF"/>
    <s v="Intangible asset additions"/>
    <s v="Loblaw|Intangible asset additions"/>
    <x v="17"/>
    <n v="419"/>
    <s v="LCL_2023_AR.pdf"/>
    <n v="97"/>
  </r>
  <r>
    <x v="0"/>
    <x v="2"/>
    <s v="CF"/>
    <s v="Cash rent paid on lease liabilities - Principal"/>
    <s v="Loblaw|Cash rent paid on lease liabilities - Principal"/>
    <x v="18"/>
    <n v="994"/>
    <s v="LCL_2023_AR.pdf"/>
    <n v="97"/>
  </r>
  <r>
    <x v="0"/>
    <x v="3"/>
    <s v="IS"/>
    <s v="Revenue"/>
    <s v="Loblaw|Revenue"/>
    <x v="0"/>
    <n v="59529"/>
    <s v="LCL_2023_AR.pdf"/>
    <n v="93"/>
  </r>
  <r>
    <x v="0"/>
    <x v="3"/>
    <s v="IS"/>
    <s v="Cost of sales"/>
    <s v="Loblaw|Cost of sales"/>
    <x v="1"/>
    <n v="40492"/>
    <s v="LCL_2023_AR.pdf"/>
    <n v="93"/>
  </r>
  <r>
    <x v="0"/>
    <x v="3"/>
    <s v="IS"/>
    <s v="Net interest expense and other financing charges"/>
    <s v="Loblaw|Net interest expense and other financing charges"/>
    <x v="2"/>
    <n v="803"/>
    <s v="LCL_2023_AR.pdf"/>
    <n v="93"/>
  </r>
  <r>
    <x v="0"/>
    <x v="3"/>
    <s v="IS"/>
    <s v="Earnings before income taxes"/>
    <s v="Loblaw|Earnings before income taxes"/>
    <x v="3"/>
    <n v="2901"/>
    <s v="LCL_2023_AR.pdf"/>
    <n v="93"/>
  </r>
  <r>
    <x v="0"/>
    <x v="3"/>
    <s v="IS"/>
    <s v="Income taxes"/>
    <s v="Loblaw|Income taxes"/>
    <x v="4"/>
    <n v="714"/>
    <s v="LCL_2023_AR.pdf"/>
    <n v="93"/>
  </r>
  <r>
    <x v="0"/>
    <x v="3"/>
    <s v="IS"/>
    <s v="No discontinued operations"/>
    <s v="Loblaw|No discontinued operations"/>
    <x v="5"/>
    <n v="0"/>
    <s v="LCL_2023_AR.pdf"/>
    <n v="93"/>
  </r>
  <r>
    <x v="0"/>
    <x v="3"/>
    <s v="IS"/>
    <s v="Net earnings"/>
    <s v="Loblaw|Net earnings"/>
    <x v="6"/>
    <n v="2187"/>
    <s v="LCL_2023_AR.pdf"/>
    <n v="93"/>
  </r>
  <r>
    <x v="0"/>
    <x v="3"/>
    <s v="IS"/>
    <s v="Shareholders of the Company"/>
    <s v="Loblaw|Shareholders of the Company"/>
    <x v="7"/>
    <n v="2100"/>
    <s v="LCL_2023_AR.pdf"/>
    <n v="93"/>
  </r>
  <r>
    <x v="0"/>
    <x v="3"/>
    <s v="BS"/>
    <s v="Inventories"/>
    <s v="Loblaw|Inventories"/>
    <x v="8"/>
    <n v="5820"/>
    <s v="LCL_2023_AR.pdf"/>
    <n v="96"/>
  </r>
  <r>
    <x v="0"/>
    <x v="3"/>
    <s v="BS"/>
    <s v="Total current assets"/>
    <s v="Loblaw|Total current assets"/>
    <x v="9"/>
    <n v="13578"/>
    <s v="LCL_2023_AR.pdf"/>
    <n v="96"/>
  </r>
  <r>
    <x v="0"/>
    <x v="3"/>
    <s v="BS"/>
    <s v="Total assets"/>
    <s v="Loblaw|Total assets"/>
    <x v="10"/>
    <n v="38979"/>
    <s v="LCL_2023_AR.pdf"/>
    <n v="96"/>
  </r>
  <r>
    <x v="0"/>
    <x v="3"/>
    <s v="BS"/>
    <s v="Total current liabilities"/>
    <s v="Loblaw|Total current liabilities"/>
    <x v="11"/>
    <n v="10847"/>
    <s v="LCL_2023_AR.pdf"/>
    <n v="96"/>
  </r>
  <r>
    <x v="0"/>
    <x v="3"/>
    <s v="BS"/>
    <s v="Total liabilities"/>
    <s v="Loblaw|Total liabilities"/>
    <x v="12"/>
    <n v="27360"/>
    <s v="LCL_2023_AR.pdf"/>
    <n v="96"/>
  </r>
  <r>
    <x v="0"/>
    <x v="3"/>
    <s v="BS"/>
    <s v="Total equity"/>
    <s v="Loblaw|Total equity"/>
    <x v="13"/>
    <n v="11619"/>
    <s v="LCL_2023_AR.pdf"/>
    <n v="96"/>
  </r>
  <r>
    <x v="0"/>
    <x v="3"/>
    <s v="BS"/>
    <s v="Total equity attributable to shareholders of the Company"/>
    <s v="Loblaw|Total equity attributable to shareholders of the Company"/>
    <x v="14"/>
    <n v="11464"/>
    <s v="LCL_2023_AR.pdf"/>
    <n v="96"/>
  </r>
  <r>
    <x v="0"/>
    <x v="3"/>
    <s v="CF"/>
    <s v="Cash flows from operating activities"/>
    <s v="Loblaw|Cash flows from operating activities"/>
    <x v="15"/>
    <n v="5654"/>
    <s v="LCL_2023_AR.pdf"/>
    <n v="97"/>
  </r>
  <r>
    <x v="0"/>
    <x v="3"/>
    <s v="CF"/>
    <s v="Fixed asset purchases"/>
    <s v="Loblaw|Fixed asset purchases"/>
    <x v="16"/>
    <n v="1665"/>
    <s v="LCL_2023_AR.pdf"/>
    <n v="97"/>
  </r>
  <r>
    <x v="0"/>
    <x v="3"/>
    <s v="CF"/>
    <s v="Intangible asset additions"/>
    <s v="Loblaw|Intangible asset additions"/>
    <x v="17"/>
    <n v="407"/>
    <s v="LCL_2023_AR.pdf"/>
    <n v="97"/>
  </r>
  <r>
    <x v="0"/>
    <x v="3"/>
    <s v="CF"/>
    <s v="Cash rent paid on lease liabilities - Principal"/>
    <s v="Loblaw|Cash rent paid on lease liabilities - Principal"/>
    <x v="18"/>
    <n v="1071"/>
    <s v="LCL_2023_AR.pdf"/>
    <n v="97"/>
  </r>
  <r>
    <x v="0"/>
    <x v="4"/>
    <s v="IS"/>
    <s v="Revenue"/>
    <s v="Loblaw|Revenue"/>
    <x v="0"/>
    <n v="60123"/>
    <s v="LCL_2025_AR.pdf"/>
    <n v="102"/>
  </r>
  <r>
    <x v="0"/>
    <x v="4"/>
    <s v="IS"/>
    <s v="Cost of sales"/>
    <s v="Loblaw|Cost of sales"/>
    <x v="1"/>
    <n v="41288"/>
    <s v="LCL_2025_AR.pdf"/>
    <n v="102"/>
  </r>
  <r>
    <x v="0"/>
    <x v="4"/>
    <s v="IS"/>
    <s v="Net interest expense and other financing charges"/>
    <s v="Loblaw|Net interest expense and other financing charges"/>
    <x v="2"/>
    <n v="683"/>
    <s v="LCL_2025_AR.pdf"/>
    <n v="102"/>
  </r>
  <r>
    <x v="0"/>
    <x v="4"/>
    <s v="IS"/>
    <s v="Earnings before income taxes"/>
    <s v="Loblaw|Earnings before income taxes"/>
    <x v="3"/>
    <n v="2791"/>
    <s v="LCL_2025_AR.pdf"/>
    <n v="102"/>
  </r>
  <r>
    <x v="0"/>
    <x v="4"/>
    <s v="IS"/>
    <s v="Income taxes"/>
    <s v="Loblaw|Income taxes"/>
    <x v="4"/>
    <n v="731"/>
    <s v="LCL_2025_AR.pdf"/>
    <n v="102"/>
  </r>
  <r>
    <x v="0"/>
    <x v="4"/>
    <s v="IS"/>
    <s v="Net earnings from discontinued operations"/>
    <s v="Loblaw|Net earnings from discontinued operations"/>
    <x v="5"/>
    <n v="215"/>
    <s v="LCL_2025_AR.pdf"/>
    <n v="102"/>
  </r>
  <r>
    <x v="0"/>
    <x v="4"/>
    <s v="IS"/>
    <s v="Net earnings"/>
    <s v="Loblaw|Net earnings"/>
    <x v="6"/>
    <n v="2275"/>
    <s v="LCL_2025_AR.pdf"/>
    <n v="102"/>
  </r>
  <r>
    <x v="0"/>
    <x v="4"/>
    <s v="IS"/>
    <s v="Shareholders of the Company"/>
    <s v="Loblaw|Shareholders of the Company"/>
    <x v="7"/>
    <n v="2171"/>
    <s v="LCL_2025_AR.pdf"/>
    <n v="102"/>
  </r>
  <r>
    <x v="0"/>
    <x v="4"/>
    <s v="BS"/>
    <s v="Inventories"/>
    <s v="Loblaw|Inventories"/>
    <x v="8"/>
    <n v="6330"/>
    <s v="LCL_2025_AR.pdf"/>
    <n v="105"/>
  </r>
  <r>
    <x v="0"/>
    <x v="4"/>
    <s v="BS"/>
    <s v="Total current assets"/>
    <s v="Loblaw|Total current assets"/>
    <x v="9"/>
    <n v="14548"/>
    <s v="LCL_2025_AR.pdf"/>
    <n v="105"/>
  </r>
  <r>
    <x v="0"/>
    <x v="4"/>
    <s v="BS"/>
    <s v="Total assets"/>
    <s v="Loblaw|Total assets"/>
    <x v="10"/>
    <n v="40880"/>
    <s v="LCL_2025_AR.pdf"/>
    <n v="105"/>
  </r>
  <r>
    <x v="0"/>
    <x v="4"/>
    <s v="BS"/>
    <s v="Total current liabilities"/>
    <s v="Loblaw|Total current liabilities"/>
    <x v="11"/>
    <n v="11768"/>
    <s v="LCL_2025_AR.pdf"/>
    <n v="105"/>
  </r>
  <r>
    <x v="0"/>
    <x v="4"/>
    <s v="BS"/>
    <s v="Total liabilities"/>
    <s v="Loblaw|Total liabilities"/>
    <x v="12"/>
    <n v="29614"/>
    <s v="LCL_2025_AR.pdf"/>
    <n v="105"/>
  </r>
  <r>
    <x v="0"/>
    <x v="4"/>
    <s v="BS"/>
    <s v="Total equity"/>
    <s v="Loblaw|Total equity"/>
    <x v="13"/>
    <n v="11266"/>
    <s v="LCL_2025_AR.pdf"/>
    <n v="105"/>
  </r>
  <r>
    <x v="0"/>
    <x v="4"/>
    <s v="BS"/>
    <s v="Total equity attributable to shareholders of the Company"/>
    <s v="Loblaw|Total equity attributable to shareholders of the Company"/>
    <x v="14"/>
    <n v="11091"/>
    <s v="LCL_2025_AR.pdf"/>
    <n v="105"/>
  </r>
  <r>
    <x v="0"/>
    <x v="4"/>
    <s v="CF"/>
    <s v="Cash flows from operating activities"/>
    <s v="Loblaw|Cash flows from operating activities"/>
    <x v="15"/>
    <n v="5802"/>
    <s v="LCL_2025_AR.pdf"/>
    <n v="106"/>
  </r>
  <r>
    <x v="0"/>
    <x v="4"/>
    <s v="CF"/>
    <s v="Fixed asset purchases"/>
    <s v="Loblaw|Fixed asset purchases"/>
    <x v="16"/>
    <n v="1823"/>
    <s v="LCL_2025_AR.pdf"/>
    <n v="106"/>
  </r>
  <r>
    <x v="0"/>
    <x v="4"/>
    <s v="CF"/>
    <s v="Intangible asset additions"/>
    <s v="Loblaw|Intangible asset additions"/>
    <x v="17"/>
    <n v="377"/>
    <s v="LCL_2025_AR.pdf"/>
    <n v="106"/>
  </r>
  <r>
    <x v="0"/>
    <x v="4"/>
    <s v="CF"/>
    <s v="Cash rent paid on lease liabilities - Principal"/>
    <s v="Loblaw|Cash rent paid on lease liabilities - Principal"/>
    <x v="18"/>
    <n v="1086"/>
    <s v="LCL_2025_AR.pdf"/>
    <n v="106"/>
  </r>
  <r>
    <x v="0"/>
    <x v="5"/>
    <s v="IS"/>
    <s v="Revenue"/>
    <s v="Loblaw|Revenue"/>
    <x v="0"/>
    <n v="63903"/>
    <s v="LCL_2025_AR.pdf"/>
    <n v="102"/>
  </r>
  <r>
    <x v="0"/>
    <x v="5"/>
    <s v="IS"/>
    <s v="Cost of sales"/>
    <s v="Loblaw|Cost of sales"/>
    <x v="1"/>
    <n v="43871"/>
    <s v="LCL_2025_AR.pdf"/>
    <n v="102"/>
  </r>
  <r>
    <x v="0"/>
    <x v="5"/>
    <s v="IS"/>
    <s v="Net interest expense and other financing charges"/>
    <s v="Loblaw|Net interest expense and other financing charges"/>
    <x v="2"/>
    <n v="742"/>
    <s v="LCL_2025_AR.pdf"/>
    <n v="102"/>
  </r>
  <r>
    <x v="0"/>
    <x v="5"/>
    <s v="IS"/>
    <s v="Earnings before income taxes"/>
    <s v="Loblaw|Earnings before income taxes"/>
    <x v="3"/>
    <n v="3682"/>
    <s v="LCL_2025_AR.pdf"/>
    <n v="102"/>
  </r>
  <r>
    <x v="0"/>
    <x v="5"/>
    <s v="IS"/>
    <s v="Income taxes"/>
    <s v="Loblaw|Income taxes"/>
    <x v="4"/>
    <n v="1080"/>
    <s v="LCL_2025_AR.pdf"/>
    <n v="102"/>
  </r>
  <r>
    <x v="0"/>
    <x v="5"/>
    <s v="IS"/>
    <s v="Net earnings from discontinued operations"/>
    <s v="Loblaw|Net earnings from discontinued operations"/>
    <x v="5"/>
    <n v="136"/>
    <s v="LCL_2025_AR.pdf"/>
    <n v="102"/>
  </r>
  <r>
    <x v="0"/>
    <x v="5"/>
    <s v="IS"/>
    <s v="Net earnings"/>
    <s v="Loblaw|Net earnings"/>
    <x v="6"/>
    <n v="2738"/>
    <s v="LCL_2025_AR.pdf"/>
    <n v="102"/>
  </r>
  <r>
    <x v="0"/>
    <x v="5"/>
    <s v="IS"/>
    <s v="Shareholders of the Company"/>
    <s v="Loblaw|Shareholders of the Company"/>
    <x v="7"/>
    <n v="2667"/>
    <s v="LCL_2025_AR.pdf"/>
    <n v="102"/>
  </r>
  <r>
    <x v="0"/>
    <x v="5"/>
    <s v="BS"/>
    <s v="Inventories"/>
    <s v="Loblaw|Inventories"/>
    <x v="8"/>
    <n v="6491"/>
    <s v="LCL_2025_AR.pdf"/>
    <n v="105"/>
  </r>
  <r>
    <x v="0"/>
    <x v="5"/>
    <s v="BS"/>
    <s v="Total current assets"/>
    <s v="Loblaw|Total current assets"/>
    <x v="9"/>
    <n v="14928"/>
    <s v="LCL_2025_AR.pdf"/>
    <n v="105"/>
  </r>
  <r>
    <x v="0"/>
    <x v="5"/>
    <s v="BS"/>
    <s v="Total assets"/>
    <s v="Loblaw|Total assets"/>
    <x v="10"/>
    <n v="41577"/>
    <s v="LCL_2025_AR.pdf"/>
    <n v="105"/>
  </r>
  <r>
    <x v="0"/>
    <x v="5"/>
    <s v="BS"/>
    <s v="Total current liabilities"/>
    <s v="Loblaw|Total current liabilities"/>
    <x v="11"/>
    <n v="13870"/>
    <s v="LCL_2025_AR.pdf"/>
    <n v="105"/>
  </r>
  <r>
    <x v="0"/>
    <x v="5"/>
    <s v="BS"/>
    <s v="Total liabilities"/>
    <s v="Loblaw|Total liabilities"/>
    <x v="12"/>
    <n v="30385"/>
    <s v="LCL_2025_AR.pdf"/>
    <n v="105"/>
  </r>
  <r>
    <x v="0"/>
    <x v="5"/>
    <s v="BS"/>
    <s v="Total equity"/>
    <s v="Loblaw|Total equity"/>
    <x v="13"/>
    <n v="11192"/>
    <s v="LCL_2025_AR.pdf"/>
    <n v="105"/>
  </r>
  <r>
    <x v="0"/>
    <x v="5"/>
    <s v="BS"/>
    <s v="Total equity attributable to shareholders of the Company"/>
    <s v="Loblaw|Total equity attributable to shareholders of the Company"/>
    <x v="14"/>
    <n v="11028"/>
    <s v="LCL_2025_AR.pdf"/>
    <n v="105"/>
  </r>
  <r>
    <x v="0"/>
    <x v="5"/>
    <s v="CF"/>
    <s v="Cash flows from operating activities"/>
    <s v="Loblaw|Cash flows from operating activities"/>
    <x v="15"/>
    <n v="6264"/>
    <s v="LCL_2025_AR.pdf"/>
    <n v="106"/>
  </r>
  <r>
    <x v="0"/>
    <x v="5"/>
    <s v="CF"/>
    <s v="Fixed asset purchases"/>
    <s v="Loblaw|Fixed asset purchases"/>
    <x v="16"/>
    <n v="1712"/>
    <s v="LCL_2025_AR.pdf"/>
    <n v="106"/>
  </r>
  <r>
    <x v="0"/>
    <x v="5"/>
    <s v="CF"/>
    <s v="Intangible asset additions"/>
    <s v="Loblaw|Intangible asset additions"/>
    <x v="17"/>
    <n v="350"/>
    <s v="LCL_2025_AR.pdf"/>
    <n v="106"/>
  </r>
  <r>
    <x v="0"/>
    <x v="5"/>
    <s v="CF"/>
    <s v="Cash rent paid on lease liabilities - Principal"/>
    <s v="Loblaw|Cash rent paid on lease liabilities - Principal"/>
    <x v="18"/>
    <n v="1255"/>
    <s v="LCL_2025_AR.pdf"/>
    <n v="106"/>
  </r>
  <r>
    <x v="1"/>
    <x v="0"/>
    <s v="IS"/>
    <s v="Sales"/>
    <s v="Metro|Sales"/>
    <x v="0"/>
    <n v="17997.5"/>
    <s v="metro_2021_AR.pdf"/>
    <n v="43"/>
  </r>
  <r>
    <x v="1"/>
    <x v="0"/>
    <s v="IS"/>
    <s v="Cost of sales (note 4)"/>
    <s v="Metro|Cost of sales (note 4)"/>
    <x v="1"/>
    <n v="14415.7"/>
    <s v="metro_2021_AR.pdf"/>
    <n v="56"/>
  </r>
  <r>
    <x v="1"/>
    <x v="0"/>
    <s v="IS"/>
    <s v="Financial costs, net"/>
    <s v="Metro|Financial costs, net"/>
    <x v="2"/>
    <n v="136.80000000000001"/>
    <s v="metro_2021_AR.pdf"/>
    <n v="43"/>
  </r>
  <r>
    <x v="1"/>
    <x v="0"/>
    <s v="IS"/>
    <s v="Earnings before income taxes"/>
    <s v="Metro|Earnings before income taxes"/>
    <x v="3"/>
    <n v="1084.3"/>
    <s v="metro_2021_AR.pdf"/>
    <n v="43"/>
  </r>
  <r>
    <x v="1"/>
    <x v="0"/>
    <s v="IS"/>
    <s v="Income taxes"/>
    <s v="Metro|Income taxes"/>
    <x v="4"/>
    <n v="287.89999999999998"/>
    <s v="metro_2021_AR.pdf"/>
    <n v="43"/>
  </r>
  <r>
    <x v="1"/>
    <x v="0"/>
    <s v="IS"/>
    <s v="No discontinued operations"/>
    <s v="Metro|No discontinued operations"/>
    <x v="5"/>
    <n v="0"/>
    <s v="metro_2021_AR.pdf"/>
    <n v="43"/>
  </r>
  <r>
    <x v="1"/>
    <x v="0"/>
    <s v="IS"/>
    <s v="Net earnings"/>
    <s v="Metro|Net earnings"/>
    <x v="6"/>
    <n v="796.4"/>
    <s v="metro_2021_AR.pdf"/>
    <n v="43"/>
  </r>
  <r>
    <x v="1"/>
    <x v="0"/>
    <s v="IS"/>
    <s v="Equity holders of the parent"/>
    <s v="Metro|Equity holders of the parent"/>
    <x v="7"/>
    <n v="795.2"/>
    <s v="metro_2021_AR.pdf"/>
    <n v="43"/>
  </r>
  <r>
    <x v="1"/>
    <x v="0"/>
    <s v="BS"/>
    <s v="Inventories"/>
    <s v="Metro|Inventories"/>
    <x v="8"/>
    <n v="1268.2"/>
    <s v="metro_2021_AR.pdf"/>
    <n v="45"/>
  </r>
  <r>
    <x v="1"/>
    <x v="0"/>
    <s v="BS"/>
    <s v="Current assets (unlabelled subtotal)"/>
    <s v="Metro|Current assets (unlabelled subtotal)"/>
    <x v="9"/>
    <n v="2500.5"/>
    <s v="metro_2021_AR.pdf"/>
    <n v="45"/>
  </r>
  <r>
    <x v="1"/>
    <x v="0"/>
    <s v="BS"/>
    <s v="Total assets (unlabelled subtotal)"/>
    <s v="Metro|Total assets (unlabelled subtotal)"/>
    <x v="10"/>
    <n v="13423.9"/>
    <s v="metro_2021_AR.pdf"/>
    <n v="45"/>
  </r>
  <r>
    <x v="1"/>
    <x v="0"/>
    <s v="BS"/>
    <s v="Current liabilities (unlabelled subtotal)"/>
    <s v="Metro|Current liabilities (unlabelled subtotal)"/>
    <x v="11"/>
    <n v="1860.1"/>
    <s v="metro_2021_AR.pdf"/>
    <n v="45"/>
  </r>
  <r>
    <x v="1"/>
    <x v="0"/>
    <s v="BS"/>
    <s v="Total liabilities (unlabelled subtotal)"/>
    <s v="Metro|Total liabilities (unlabelled subtotal)"/>
    <x v="12"/>
    <n v="7268.5"/>
    <s v="metro_2021_AR.pdf"/>
    <n v="45"/>
  </r>
  <r>
    <x v="1"/>
    <x v="0"/>
    <s v="BS"/>
    <s v="Total equity (unlabelled subtotal)"/>
    <s v="Metro|Total equity (unlabelled subtotal)"/>
    <x v="13"/>
    <n v="6155.4"/>
    <s v="metro_2021_AR.pdf"/>
    <n v="45"/>
  </r>
  <r>
    <x v="1"/>
    <x v="0"/>
    <s v="BS"/>
    <s v="Attributable to equity holders of the parent"/>
    <s v="Metro|Attributable to equity holders of the parent"/>
    <x v="14"/>
    <n v="6142.2"/>
    <s v="metro_2021_AR.pdf"/>
    <n v="45"/>
  </r>
  <r>
    <x v="1"/>
    <x v="0"/>
    <s v="CF"/>
    <s v="Operating activities (unlabelled subtotal)"/>
    <s v="Metro|Operating activities (unlabelled subtotal)"/>
    <x v="15"/>
    <n v="1474.1"/>
    <s v="metro_2021_AR.pdf"/>
    <n v="47"/>
  </r>
  <r>
    <x v="1"/>
    <x v="0"/>
    <s v="CF"/>
    <s v="Additions to fixed assets and investment properties"/>
    <s v="Metro|Additions to fixed assets and investment properties"/>
    <x v="16"/>
    <n v="463.3"/>
    <s v="metro_2021_AR.pdf"/>
    <n v="47"/>
  </r>
  <r>
    <x v="1"/>
    <x v="0"/>
    <s v="CF"/>
    <s v="Additions to intangible assets"/>
    <s v="Metro|Additions to intangible assets"/>
    <x v="17"/>
    <n v="47.4"/>
    <s v="metro_2021_AR.pdf"/>
    <n v="47"/>
  </r>
  <r>
    <x v="1"/>
    <x v="0"/>
    <s v="CF"/>
    <s v="Payment of lease liabilities (principal)"/>
    <s v="Metro|Payment of lease liabilities (principal)"/>
    <x v="18"/>
    <n v="252.9"/>
    <s v="metro_2021_AR.pdf"/>
    <n v="47"/>
  </r>
  <r>
    <x v="1"/>
    <x v="1"/>
    <s v="IS"/>
    <s v="Sales"/>
    <s v="Metro|Sales"/>
    <x v="0"/>
    <n v="18283"/>
    <s v="metro_2021_AR.pdf"/>
    <n v="43"/>
  </r>
  <r>
    <x v="1"/>
    <x v="1"/>
    <s v="IS"/>
    <s v="Cost of sales (note 4)"/>
    <s v="Metro|Cost of sales (note 4)"/>
    <x v="1"/>
    <n v="14628.2"/>
    <s v="metro_2021_AR.pdf"/>
    <n v="56"/>
  </r>
  <r>
    <x v="1"/>
    <x v="1"/>
    <s v="IS"/>
    <s v="Financial costs, net"/>
    <s v="Metro|Financial costs, net"/>
    <x v="2"/>
    <n v="133.5"/>
    <s v="metro_2021_AR.pdf"/>
    <n v="43"/>
  </r>
  <r>
    <x v="1"/>
    <x v="1"/>
    <s v="IS"/>
    <s v="Earnings before income taxes"/>
    <s v="Metro|Earnings before income taxes"/>
    <x v="3"/>
    <n v="1120.7"/>
    <s v="metro_2021_AR.pdf"/>
    <n v="43"/>
  </r>
  <r>
    <x v="1"/>
    <x v="1"/>
    <s v="IS"/>
    <s v="Income taxes"/>
    <s v="Metro|Income taxes"/>
    <x v="4"/>
    <n v="295"/>
    <s v="metro_2021_AR.pdf"/>
    <n v="43"/>
  </r>
  <r>
    <x v="1"/>
    <x v="1"/>
    <s v="IS"/>
    <s v="No discontinued operations"/>
    <s v="Metro|No discontinued operations"/>
    <x v="5"/>
    <n v="0"/>
    <s v="metro_2021_AR.pdf"/>
    <n v="43"/>
  </r>
  <r>
    <x v="1"/>
    <x v="1"/>
    <s v="IS"/>
    <s v="Net earnings"/>
    <s v="Metro|Net earnings"/>
    <x v="6"/>
    <n v="825.7"/>
    <s v="metro_2021_AR.pdf"/>
    <n v="43"/>
  </r>
  <r>
    <x v="1"/>
    <x v="1"/>
    <s v="IS"/>
    <s v="Equity holders of the parent"/>
    <s v="Metro|Equity holders of the parent"/>
    <x v="7"/>
    <n v="823"/>
    <s v="metro_2021_AR.pdf"/>
    <n v="43"/>
  </r>
  <r>
    <x v="1"/>
    <x v="1"/>
    <s v="BS"/>
    <s v="Inventories"/>
    <s v="Metro|Inventories"/>
    <x v="8"/>
    <n v="1169"/>
    <s v="metro_2021_AR.pdf"/>
    <n v="45"/>
  </r>
  <r>
    <x v="1"/>
    <x v="1"/>
    <s v="BS"/>
    <s v="Current assets (unlabelled subtotal)"/>
    <s v="Metro|Current assets (unlabelled subtotal)"/>
    <x v="9"/>
    <n v="2466.8000000000002"/>
    <s v="metro_2021_AR.pdf"/>
    <n v="45"/>
  </r>
  <r>
    <x v="1"/>
    <x v="1"/>
    <s v="BS"/>
    <s v="Total assets (unlabelled subtotal)"/>
    <s v="Metro|Total assets (unlabelled subtotal)"/>
    <x v="10"/>
    <n v="13592.1"/>
    <s v="metro_2021_AR.pdf"/>
    <n v="45"/>
  </r>
  <r>
    <x v="1"/>
    <x v="1"/>
    <s v="BS"/>
    <s v="Current liabilities (unlabelled subtotal)"/>
    <s v="Metro|Current liabilities (unlabelled subtotal)"/>
    <x v="11"/>
    <n v="2198.1999999999998"/>
    <s v="metro_2021_AR.pdf"/>
    <n v="45"/>
  </r>
  <r>
    <x v="1"/>
    <x v="1"/>
    <s v="BS"/>
    <s v="Total liabilities (unlabelled subtotal)"/>
    <s v="Metro|Total liabilities (unlabelled subtotal)"/>
    <x v="12"/>
    <n v="7179.3"/>
    <s v="metro_2021_AR.pdf"/>
    <n v="45"/>
  </r>
  <r>
    <x v="1"/>
    <x v="1"/>
    <s v="BS"/>
    <s v="Total equity (unlabelled subtotal)"/>
    <s v="Metro|Total equity (unlabelled subtotal)"/>
    <x v="13"/>
    <n v="6412.8"/>
    <s v="metro_2021_AR.pdf"/>
    <n v="45"/>
  </r>
  <r>
    <x v="1"/>
    <x v="1"/>
    <s v="BS"/>
    <s v="Attributable to equity holders of the parent"/>
    <s v="Metro|Attributable to equity holders of the parent"/>
    <x v="14"/>
    <n v="6399.9"/>
    <s v="metro_2021_AR.pdf"/>
    <n v="45"/>
  </r>
  <r>
    <x v="1"/>
    <x v="1"/>
    <s v="CF"/>
    <s v="Operating activities (unlabelled subtotal)"/>
    <s v="Metro|Operating activities (unlabelled subtotal)"/>
    <x v="15"/>
    <n v="1583.3"/>
    <s v="metro_2021_AR.pdf"/>
    <n v="47"/>
  </r>
  <r>
    <x v="1"/>
    <x v="1"/>
    <s v="CF"/>
    <s v="Additions to fixed assets and investment properties"/>
    <s v="Metro|Additions to fixed assets and investment properties"/>
    <x v="16"/>
    <n v="520"/>
    <s v="metro_2021_AR.pdf"/>
    <n v="47"/>
  </r>
  <r>
    <x v="1"/>
    <x v="1"/>
    <s v="CF"/>
    <s v="Additions to intangible assets"/>
    <s v="Metro|Additions to intangible assets"/>
    <x v="17"/>
    <n v="79.3"/>
    <s v="metro_2021_AR.pdf"/>
    <n v="47"/>
  </r>
  <r>
    <x v="1"/>
    <x v="1"/>
    <s v="CF"/>
    <s v="Payment of lease liabilities (principal)"/>
    <s v="Metro|Payment of lease liabilities (principal)"/>
    <x v="18"/>
    <n v="260.89999999999998"/>
    <s v="metro_2021_AR.pdf"/>
    <n v="47"/>
  </r>
  <r>
    <x v="1"/>
    <x v="2"/>
    <s v="IS"/>
    <s v="Sales"/>
    <s v="Metro|Sales"/>
    <x v="0"/>
    <n v="18888.900000000001"/>
    <s v="metro_2023_AR.pdf"/>
    <n v="45"/>
  </r>
  <r>
    <x v="1"/>
    <x v="2"/>
    <s v="IS"/>
    <s v="Cost of sales"/>
    <s v="Metro|Cost of sales"/>
    <x v="1"/>
    <n v="15105.6"/>
    <s v="metro_2023_AR.pdf"/>
    <n v="45"/>
  </r>
  <r>
    <x v="1"/>
    <x v="2"/>
    <s v="IS"/>
    <s v="Net financial costs"/>
    <s v="Metro|Net financial costs"/>
    <x v="2"/>
    <n v="117.6"/>
    <s v="metro_2023_AR.pdf"/>
    <n v="45"/>
  </r>
  <r>
    <x v="1"/>
    <x v="2"/>
    <s v="IS"/>
    <s v="Earnings before income taxes"/>
    <s v="Metro|Earnings before income taxes"/>
    <x v="3"/>
    <n v="1153.5999999999999"/>
    <s v="metro_2023_AR.pdf"/>
    <n v="45"/>
  </r>
  <r>
    <x v="1"/>
    <x v="2"/>
    <s v="IS"/>
    <s v="Income taxes"/>
    <s v="Metro|Income taxes"/>
    <x v="4"/>
    <n v="304.10000000000002"/>
    <s v="metro_2023_AR.pdf"/>
    <n v="45"/>
  </r>
  <r>
    <x v="1"/>
    <x v="2"/>
    <s v="IS"/>
    <s v="No discontinued operations"/>
    <s v="Metro|No discontinued operations"/>
    <x v="5"/>
    <n v="0"/>
    <s v="metro_2023_AR.pdf"/>
    <n v="45"/>
  </r>
  <r>
    <x v="1"/>
    <x v="2"/>
    <s v="IS"/>
    <s v="Net earnings"/>
    <s v="Metro|Net earnings"/>
    <x v="6"/>
    <n v="849.5"/>
    <s v="metro_2023_AR.pdf"/>
    <n v="45"/>
  </r>
  <r>
    <x v="1"/>
    <x v="2"/>
    <s v="IS"/>
    <s v="Equity holders of the parent"/>
    <s v="Metro|Equity holders of the parent"/>
    <x v="7"/>
    <n v="846.1"/>
    <s v="metro_2023_AR.pdf"/>
    <n v="45"/>
  </r>
  <r>
    <x v="1"/>
    <x v="2"/>
    <s v="BS"/>
    <s v="Inventories"/>
    <s v="Metro|Inventories"/>
    <x v="8"/>
    <n v="1331.1"/>
    <s v="metro_2023_AR.pdf"/>
    <n v="47"/>
  </r>
  <r>
    <x v="1"/>
    <x v="2"/>
    <s v="BS"/>
    <s v="Current assets (unlabelled subtotal)"/>
    <s v="Metro|Current assets (unlabelled subtotal)"/>
    <x v="9"/>
    <n v="2183.3000000000002"/>
    <s v="metro_2023_AR.pdf"/>
    <n v="47"/>
  </r>
  <r>
    <x v="1"/>
    <x v="2"/>
    <s v="BS"/>
    <s v="Total assets (unlabelled subtotal)"/>
    <s v="Metro|Total assets (unlabelled subtotal)"/>
    <x v="10"/>
    <n v="13401.3"/>
    <s v="metro_2023_AR.pdf"/>
    <n v="47"/>
  </r>
  <r>
    <x v="1"/>
    <x v="2"/>
    <s v="BS"/>
    <s v="Current liabilities (unlabelled subtotal)"/>
    <s v="Metro|Current liabilities (unlabelled subtotal)"/>
    <x v="11"/>
    <n v="1952.5"/>
    <s v="metro_2023_AR.pdf"/>
    <n v="47"/>
  </r>
  <r>
    <x v="1"/>
    <x v="2"/>
    <s v="BS"/>
    <s v="Total liabilities (unlabelled subtotal)"/>
    <s v="Metro|Total liabilities (unlabelled subtotal)"/>
    <x v="12"/>
    <n v="6782.9"/>
    <s v="metro_2023_AR.pdf"/>
    <n v="47"/>
  </r>
  <r>
    <x v="1"/>
    <x v="2"/>
    <s v="BS"/>
    <s v="Total equity (unlabelled subtotal)"/>
    <s v="Metro|Total equity (unlabelled subtotal)"/>
    <x v="13"/>
    <n v="6618.4"/>
    <s v="metro_2023_AR.pdf"/>
    <n v="47"/>
  </r>
  <r>
    <x v="1"/>
    <x v="2"/>
    <s v="BS"/>
    <s v="Attributable to equity holders of the parent"/>
    <s v="Metro|Attributable to equity holders of the parent"/>
    <x v="14"/>
    <n v="6604.5"/>
    <s v="metro_2023_AR.pdf"/>
    <n v="47"/>
  </r>
  <r>
    <x v="1"/>
    <x v="2"/>
    <s v="CF"/>
    <s v="Operating activities (unlabelled subtotal)"/>
    <s v="Metro|Operating activities (unlabelled subtotal)"/>
    <x v="15"/>
    <n v="1461.4"/>
    <s v="metro_2023_AR.pdf"/>
    <n v="49"/>
  </r>
  <r>
    <x v="1"/>
    <x v="2"/>
    <s v="CF"/>
    <s v="Additions to fixed assets"/>
    <s v="Metro|Additions to fixed assets"/>
    <x v="16"/>
    <n v="522.79999999999995"/>
    <s v="metro_2023_AR.pdf"/>
    <n v="49"/>
  </r>
  <r>
    <x v="1"/>
    <x v="2"/>
    <s v="CF"/>
    <s v="Additions to intangible assets"/>
    <s v="Metro|Additions to intangible assets"/>
    <x v="17"/>
    <n v="98.2"/>
    <s v="metro_2023_AR.pdf"/>
    <n v="49"/>
  </r>
  <r>
    <x v="1"/>
    <x v="2"/>
    <s v="CF"/>
    <s v="Payment of lease liabilities (principal)"/>
    <s v="Metro|Payment of lease liabilities (principal)"/>
    <x v="18"/>
    <n v="268"/>
    <s v="metro_2023_AR.pdf"/>
    <n v="49"/>
  </r>
  <r>
    <x v="1"/>
    <x v="3"/>
    <s v="IS"/>
    <s v="Sales"/>
    <s v="Metro|Sales"/>
    <x v="0"/>
    <n v="20724.599999999999"/>
    <s v="metro_2023_AR.pdf"/>
    <n v="45"/>
  </r>
  <r>
    <x v="1"/>
    <x v="3"/>
    <s v="IS"/>
    <s v="Cost of sales"/>
    <s v="Metro|Cost of sales"/>
    <x v="1"/>
    <n v="16642.400000000001"/>
    <s v="metro_2023_AR.pdf"/>
    <n v="45"/>
  </r>
  <r>
    <x v="1"/>
    <x v="3"/>
    <s v="IS"/>
    <s v="Net financial costs"/>
    <s v="Metro|Net financial costs"/>
    <x v="2"/>
    <n v="122.6"/>
    <s v="metro_2023_AR.pdf"/>
    <n v="45"/>
  </r>
  <r>
    <x v="1"/>
    <x v="3"/>
    <s v="IS"/>
    <s v="Earnings before income taxes"/>
    <s v="Metro|Earnings before income taxes"/>
    <x v="3"/>
    <n v="1321.8"/>
    <s v="metro_2023_AR.pdf"/>
    <n v="45"/>
  </r>
  <r>
    <x v="1"/>
    <x v="3"/>
    <s v="IS"/>
    <s v="Income taxes"/>
    <s v="Metro|Income taxes"/>
    <x v="4"/>
    <n v="303"/>
    <s v="metro_2023_AR.pdf"/>
    <n v="45"/>
  </r>
  <r>
    <x v="1"/>
    <x v="3"/>
    <s v="IS"/>
    <s v="No discontinued operations"/>
    <s v="Metro|No discontinued operations"/>
    <x v="5"/>
    <n v="0"/>
    <s v="metro_2023_AR.pdf"/>
    <n v="45"/>
  </r>
  <r>
    <x v="1"/>
    <x v="3"/>
    <s v="IS"/>
    <s v="Net earnings"/>
    <s v="Metro|Net earnings"/>
    <x v="6"/>
    <n v="1018.8"/>
    <s v="metro_2023_AR.pdf"/>
    <n v="45"/>
  </r>
  <r>
    <x v="1"/>
    <x v="3"/>
    <s v="IS"/>
    <s v="Equity holders of the parent"/>
    <s v="Metro|Equity holders of the parent"/>
    <x v="7"/>
    <n v="1014.8"/>
    <s v="metro_2023_AR.pdf"/>
    <n v="45"/>
  </r>
  <r>
    <x v="1"/>
    <x v="3"/>
    <s v="BS"/>
    <s v="Inventories"/>
    <s v="Metro|Inventories"/>
    <x v="8"/>
    <n v="1451"/>
    <s v="metro_2023_AR.pdf"/>
    <n v="47"/>
  </r>
  <r>
    <x v="1"/>
    <x v="3"/>
    <s v="BS"/>
    <s v="Current assets (unlabelled subtotal)"/>
    <s v="Metro|Current assets (unlabelled subtotal)"/>
    <x v="9"/>
    <n v="2403.6"/>
    <s v="metro_2023_AR.pdf"/>
    <n v="47"/>
  </r>
  <r>
    <x v="1"/>
    <x v="3"/>
    <s v="BS"/>
    <s v="Total assets (unlabelled subtotal)"/>
    <s v="Metro|Total assets (unlabelled subtotal)"/>
    <x v="10"/>
    <n v="13865.3"/>
    <s v="metro_2023_AR.pdf"/>
    <n v="47"/>
  </r>
  <r>
    <x v="1"/>
    <x v="3"/>
    <s v="BS"/>
    <s v="Current liabilities (unlabelled subtotal)"/>
    <s v="Metro|Current liabilities (unlabelled subtotal)"/>
    <x v="11"/>
    <n v="1960.8"/>
    <s v="metro_2023_AR.pdf"/>
    <n v="47"/>
  </r>
  <r>
    <x v="1"/>
    <x v="3"/>
    <s v="BS"/>
    <s v="Total liabilities (unlabelled subtotal)"/>
    <s v="Metro|Total liabilities (unlabelled subtotal)"/>
    <x v="12"/>
    <n v="7049"/>
    <s v="metro_2023_AR.pdf"/>
    <n v="47"/>
  </r>
  <r>
    <x v="1"/>
    <x v="3"/>
    <s v="BS"/>
    <s v="Total equity (unlabelled subtotal)"/>
    <s v="Metro|Total equity (unlabelled subtotal)"/>
    <x v="13"/>
    <n v="6816.3"/>
    <s v="metro_2023_AR.pdf"/>
    <n v="47"/>
  </r>
  <r>
    <x v="1"/>
    <x v="3"/>
    <s v="BS"/>
    <s v="Attributable to equity holders of the parent"/>
    <s v="Metro|Attributable to equity holders of the parent"/>
    <x v="14"/>
    <n v="6801.2"/>
    <s v="metro_2023_AR.pdf"/>
    <n v="47"/>
  </r>
  <r>
    <x v="1"/>
    <x v="3"/>
    <s v="CF"/>
    <s v="Operating activities (unlabelled subtotal)"/>
    <s v="Metro|Operating activities (unlabelled subtotal)"/>
    <x v="15"/>
    <n v="1563.5"/>
    <s v="metro_2023_AR.pdf"/>
    <n v="49"/>
  </r>
  <r>
    <x v="1"/>
    <x v="3"/>
    <s v="CF"/>
    <s v="Additions to fixed assets"/>
    <s v="Metro|Additions to fixed assets"/>
    <x v="16"/>
    <n v="597.20000000000005"/>
    <s v="metro_2023_AR.pdf"/>
    <n v="49"/>
  </r>
  <r>
    <x v="1"/>
    <x v="3"/>
    <s v="CF"/>
    <s v="Additions to intangible assets"/>
    <s v="Metro|Additions to intangible assets"/>
    <x v="17"/>
    <n v="82.7"/>
    <s v="metro_2023_AR.pdf"/>
    <n v="49"/>
  </r>
  <r>
    <x v="1"/>
    <x v="3"/>
    <s v="CF"/>
    <s v="Payment of lease liabilities (principal)"/>
    <s v="Metro|Payment of lease liabilities (principal)"/>
    <x v="18"/>
    <n v="269.10000000000002"/>
    <s v="metro_2023_AR.pdf"/>
    <n v="49"/>
  </r>
  <r>
    <x v="1"/>
    <x v="4"/>
    <s v="IS"/>
    <s v="Sales"/>
    <s v="Metro|Sales"/>
    <x v="0"/>
    <n v="21219.9"/>
    <s v="metro_2025_AR.pdf"/>
    <n v="47"/>
  </r>
  <r>
    <x v="1"/>
    <x v="4"/>
    <s v="IS"/>
    <s v="Cost of sales"/>
    <s v="Metro|Cost of sales"/>
    <x v="1"/>
    <n v="17040.599999999999"/>
    <s v="metro_2025_AR.pdf"/>
    <n v="47"/>
  </r>
  <r>
    <x v="1"/>
    <x v="4"/>
    <s v="IS"/>
    <s v="Net financial costs"/>
    <s v="Metro|Net financial costs"/>
    <x v="2"/>
    <n v="145.69999999999999"/>
    <s v="metro_2025_AR.pdf"/>
    <n v="47"/>
  </r>
  <r>
    <x v="1"/>
    <x v="4"/>
    <s v="IS"/>
    <s v="Earnings before income taxes"/>
    <s v="Metro|Earnings before income taxes"/>
    <x v="3"/>
    <n v="1250.0999999999999"/>
    <s v="metro_2025_AR.pdf"/>
    <n v="47"/>
  </r>
  <r>
    <x v="1"/>
    <x v="4"/>
    <s v="IS"/>
    <s v="Income taxes"/>
    <s v="Metro|Income taxes"/>
    <x v="4"/>
    <n v="318.39999999999998"/>
    <s v="metro_2025_AR.pdf"/>
    <n v="47"/>
  </r>
  <r>
    <x v="1"/>
    <x v="4"/>
    <s v="IS"/>
    <s v="No discontinued operations"/>
    <s v="Metro|No discontinued operations"/>
    <x v="5"/>
    <n v="0"/>
    <s v="metro_2025_AR.pdf"/>
    <n v="47"/>
  </r>
  <r>
    <x v="1"/>
    <x v="4"/>
    <s v="IS"/>
    <s v="Net earnings"/>
    <s v="Metro|Net earnings"/>
    <x v="6"/>
    <n v="931.7"/>
    <s v="metro_2025_AR.pdf"/>
    <n v="47"/>
  </r>
  <r>
    <x v="1"/>
    <x v="4"/>
    <s v="IS"/>
    <s v="Equity holders of the parent"/>
    <s v="Metro|Equity holders of the parent"/>
    <x v="7"/>
    <n v="928.8"/>
    <s v="metro_2025_AR.pdf"/>
    <n v="47"/>
  </r>
  <r>
    <x v="1"/>
    <x v="4"/>
    <s v="BS"/>
    <s v="Inventories"/>
    <s v="Metro|Inventories"/>
    <x v="8"/>
    <n v="1508.3"/>
    <s v="metro_2025_AR.pdf"/>
    <n v="49"/>
  </r>
  <r>
    <x v="1"/>
    <x v="4"/>
    <s v="BS"/>
    <s v="Current assets (unlabelled subtotal)"/>
    <s v="Metro|Current assets (unlabelled subtotal)"/>
    <x v="9"/>
    <n v="2474"/>
    <s v="metro_2025_AR.pdf"/>
    <n v="49"/>
  </r>
  <r>
    <x v="1"/>
    <x v="4"/>
    <s v="BS"/>
    <s v="Total assets (unlabelled subtotal)"/>
    <s v="Metro|Total assets (unlabelled subtotal)"/>
    <x v="10"/>
    <n v="14140.6"/>
    <s v="metro_2025_AR.pdf"/>
    <n v="49"/>
  </r>
  <r>
    <x v="1"/>
    <x v="4"/>
    <s v="BS"/>
    <s v="Current liabilities (unlabelled subtotal)"/>
    <s v="Metro|Current liabilities (unlabelled subtotal)"/>
    <x v="11"/>
    <n v="2285.6"/>
    <s v="metro_2025_AR.pdf"/>
    <n v="49"/>
  </r>
  <r>
    <x v="1"/>
    <x v="4"/>
    <s v="BS"/>
    <s v="Total liabilities (unlabelled subtotal)"/>
    <s v="Metro|Total liabilities (unlabelled subtotal)"/>
    <x v="12"/>
    <n v="7101.7"/>
    <s v="metro_2025_AR.pdf"/>
    <n v="49"/>
  </r>
  <r>
    <x v="1"/>
    <x v="4"/>
    <s v="BS"/>
    <s v="Total equity (unlabelled subtotal)"/>
    <s v="Metro|Total equity (unlabelled subtotal)"/>
    <x v="13"/>
    <n v="7038.9"/>
    <s v="metro_2025_AR.pdf"/>
    <n v="49"/>
  </r>
  <r>
    <x v="1"/>
    <x v="4"/>
    <s v="BS"/>
    <s v="Attributable to equity holders of the parent"/>
    <s v="Metro|Attributable to equity holders of the parent"/>
    <x v="14"/>
    <n v="7021.7"/>
    <s v="metro_2025_AR.pdf"/>
    <n v="49"/>
  </r>
  <r>
    <x v="1"/>
    <x v="4"/>
    <s v="CF"/>
    <s v="Operating activities (unlabelled subtotal)"/>
    <s v="Metro|Operating activities (unlabelled subtotal)"/>
    <x v="15"/>
    <n v="1677"/>
    <s v="metro_2025_AR.pdf"/>
    <n v="51"/>
  </r>
  <r>
    <x v="1"/>
    <x v="4"/>
    <s v="CF"/>
    <s v="Additions to fixed assets"/>
    <s v="Metro|Additions to fixed assets"/>
    <x v="16"/>
    <n v="499"/>
    <s v="metro_2025_AR.pdf"/>
    <n v="51"/>
  </r>
  <r>
    <x v="1"/>
    <x v="4"/>
    <s v="CF"/>
    <s v="Additions to intangible assets and goodwill"/>
    <s v="Metro|Additions to intangible assets and goodwill"/>
    <x v="17"/>
    <n v="80.7"/>
    <s v="metro_2025_AR.pdf"/>
    <n v="51"/>
  </r>
  <r>
    <x v="1"/>
    <x v="4"/>
    <s v="CF"/>
    <s v="Payment of lease liabilities (principal)"/>
    <s v="Metro|Payment of lease liabilities (principal)"/>
    <x v="18"/>
    <n v="267.8"/>
    <s v="metro_2025_AR.pdf"/>
    <n v="51"/>
  </r>
  <r>
    <x v="1"/>
    <x v="5"/>
    <s v="IS"/>
    <s v="Sales"/>
    <s v="Metro|Sales"/>
    <x v="0"/>
    <n v="22006.7"/>
    <s v="metro_2025_AR.pdf"/>
    <n v="47"/>
  </r>
  <r>
    <x v="1"/>
    <x v="5"/>
    <s v="IS"/>
    <s v="Cost of sales"/>
    <s v="Metro|Cost of sales"/>
    <x v="1"/>
    <n v="17636.400000000001"/>
    <s v="metro_2025_AR.pdf"/>
    <n v="47"/>
  </r>
  <r>
    <x v="1"/>
    <x v="5"/>
    <s v="IS"/>
    <s v="Net financial costs"/>
    <s v="Metro|Net financial costs"/>
    <x v="2"/>
    <n v="143.80000000000001"/>
    <s v="metro_2025_AR.pdf"/>
    <n v="47"/>
  </r>
  <r>
    <x v="1"/>
    <x v="5"/>
    <s v="IS"/>
    <s v="Earnings before income taxes"/>
    <s v="Metro|Earnings before income taxes"/>
    <x v="3"/>
    <n v="1320.2"/>
    <s v="metro_2025_AR.pdf"/>
    <n v="47"/>
  </r>
  <r>
    <x v="1"/>
    <x v="5"/>
    <s v="IS"/>
    <s v="Income taxes"/>
    <s v="Metro|Income taxes"/>
    <x v="4"/>
    <n v="300.7"/>
    <s v="metro_2025_AR.pdf"/>
    <n v="47"/>
  </r>
  <r>
    <x v="1"/>
    <x v="5"/>
    <s v="IS"/>
    <s v="No discontinued operations"/>
    <s v="Metro|No discontinued operations"/>
    <x v="5"/>
    <n v="0"/>
    <s v="metro_2025_AR.pdf"/>
    <n v="47"/>
  </r>
  <r>
    <x v="1"/>
    <x v="5"/>
    <s v="IS"/>
    <s v="Net earnings"/>
    <s v="Metro|Net earnings"/>
    <x v="6"/>
    <n v="1019.5"/>
    <s v="metro_2025_AR.pdf"/>
    <n v="47"/>
  </r>
  <r>
    <x v="1"/>
    <x v="5"/>
    <s v="IS"/>
    <s v="Equity holders of the parent"/>
    <s v="Metro|Equity holders of the parent"/>
    <x v="7"/>
    <n v="1017"/>
    <s v="metro_2025_AR.pdf"/>
    <n v="47"/>
  </r>
  <r>
    <x v="1"/>
    <x v="5"/>
    <s v="BS"/>
    <s v="Inventories"/>
    <s v="Metro|Inventories"/>
    <x v="8"/>
    <n v="1604.3"/>
    <s v="metro_2025_AR.pdf"/>
    <n v="49"/>
  </r>
  <r>
    <x v="1"/>
    <x v="5"/>
    <s v="BS"/>
    <s v="Current assets (unlabelled subtotal)"/>
    <s v="Metro|Current assets (unlabelled subtotal)"/>
    <x v="9"/>
    <n v="2661"/>
    <s v="metro_2025_AR.pdf"/>
    <n v="49"/>
  </r>
  <r>
    <x v="1"/>
    <x v="5"/>
    <s v="BS"/>
    <s v="Total assets (unlabelled subtotal)"/>
    <s v="Metro|Total assets (unlabelled subtotal)"/>
    <x v="10"/>
    <n v="14539.4"/>
    <s v="metro_2025_AR.pdf"/>
    <n v="49"/>
  </r>
  <r>
    <x v="1"/>
    <x v="5"/>
    <s v="BS"/>
    <s v="Current liabilities (unlabelled subtotal)"/>
    <s v="Metro|Current liabilities (unlabelled subtotal)"/>
    <x v="11"/>
    <n v="2053.8000000000002"/>
    <s v="metro_2025_AR.pdf"/>
    <n v="49"/>
  </r>
  <r>
    <x v="1"/>
    <x v="5"/>
    <s v="BS"/>
    <s v="Total liabilities (unlabelled subtotal)"/>
    <s v="Metro|Total liabilities (unlabelled subtotal)"/>
    <x v="12"/>
    <n v="7494.3"/>
    <s v="metro_2025_AR.pdf"/>
    <n v="49"/>
  </r>
  <r>
    <x v="1"/>
    <x v="5"/>
    <s v="BS"/>
    <s v="Total equity (unlabelled subtotal)"/>
    <s v="Metro|Total equity (unlabelled subtotal)"/>
    <x v="13"/>
    <n v="7045.1"/>
    <s v="metro_2025_AR.pdf"/>
    <n v="49"/>
  </r>
  <r>
    <x v="1"/>
    <x v="5"/>
    <s v="BS"/>
    <s v="Attributable to equity holders of the parent"/>
    <s v="Metro|Attributable to equity holders of the parent"/>
    <x v="14"/>
    <n v="7026.7"/>
    <s v="metro_2025_AR.pdf"/>
    <n v="49"/>
  </r>
  <r>
    <x v="1"/>
    <x v="5"/>
    <s v="CF"/>
    <s v="Operating activities (unlabelled subtotal)"/>
    <s v="Metro|Operating activities (unlabelled subtotal)"/>
    <x v="15"/>
    <n v="1724.9"/>
    <s v="metro_2025_AR.pdf"/>
    <n v="51"/>
  </r>
  <r>
    <x v="1"/>
    <x v="5"/>
    <s v="CF"/>
    <s v="Additions to fixed assets"/>
    <s v="Metro|Additions to fixed assets"/>
    <x v="16"/>
    <n v="452.5"/>
    <s v="metro_2025_AR.pdf"/>
    <n v="51"/>
  </r>
  <r>
    <x v="1"/>
    <x v="5"/>
    <s v="CF"/>
    <s v="Additions to intangible assets and goodwill"/>
    <s v="Metro|Additions to intangible assets and goodwill"/>
    <x v="17"/>
    <n v="58.1"/>
    <s v="metro_2025_AR.pdf"/>
    <n v="51"/>
  </r>
  <r>
    <x v="1"/>
    <x v="5"/>
    <s v="CF"/>
    <s v="Payment of lease liabilities (principal)"/>
    <s v="Metro|Payment of lease liabilities (principal)"/>
    <x v="18"/>
    <n v="281.7"/>
    <s v="metro_2025_AR.pdf"/>
    <n v="51"/>
  </r>
  <r>
    <x v="2"/>
    <x v="0"/>
    <s v="IS"/>
    <s v="Sales"/>
    <s v="Empire|Sales"/>
    <x v="0"/>
    <n v="26588.2"/>
    <s v="empire_2021_AR.pdf"/>
    <n v="51"/>
  </r>
  <r>
    <x v="2"/>
    <x v="0"/>
    <s v="IS"/>
    <s v="Cost of sales"/>
    <s v="Empire|Cost of sales"/>
    <x v="1"/>
    <n v="19954.900000000001"/>
    <s v="empire_2021_AR.pdf"/>
    <n v="51"/>
  </r>
  <r>
    <x v="2"/>
    <x v="0"/>
    <s v="IS"/>
    <s v="Finance costs, net"/>
    <s v="Empire|Finance costs, net"/>
    <x v="2"/>
    <n v="279.10000000000002"/>
    <s v="empire_2021_AR.pdf"/>
    <n v="51"/>
  </r>
  <r>
    <x v="2"/>
    <x v="0"/>
    <s v="IS"/>
    <s v="Earnings before income taxes"/>
    <s v="Empire|Earnings before income taxes"/>
    <x v="3"/>
    <n v="832.7"/>
    <s v="empire_2021_AR.pdf"/>
    <n v="51"/>
  </r>
  <r>
    <x v="2"/>
    <x v="0"/>
    <s v="IS"/>
    <s v="Income tax expense"/>
    <s v="Empire|Income tax expense"/>
    <x v="4"/>
    <n v="219.9"/>
    <s v="empire_2021_AR.pdf"/>
    <n v="51"/>
  </r>
  <r>
    <x v="2"/>
    <x v="0"/>
    <s v="IS"/>
    <s v="No discontinued operations"/>
    <s v="Empire|No discontinued operations"/>
    <x v="5"/>
    <n v="0"/>
    <s v="empire_2021_AR.pdf"/>
    <n v="51"/>
  </r>
  <r>
    <x v="2"/>
    <x v="0"/>
    <s v="IS"/>
    <s v="Net earnings"/>
    <s v="Empire|Net earnings"/>
    <x v="6"/>
    <n v="612.79999999999995"/>
    <s v="empire_2021_AR.pdf"/>
    <n v="51"/>
  </r>
  <r>
    <x v="2"/>
    <x v="0"/>
    <s v="IS"/>
    <s v="Owners of the Company"/>
    <s v="Empire|Owners of the Company"/>
    <x v="7"/>
    <n v="583.5"/>
    <s v="empire_2021_AR.pdf"/>
    <n v="51"/>
  </r>
  <r>
    <x v="2"/>
    <x v="0"/>
    <s v="BS"/>
    <s v="Inventories"/>
    <s v="Empire|Inventories"/>
    <x v="8"/>
    <n v="1489.4"/>
    <s v="empire_2021_AR.pdf"/>
    <n v="50"/>
  </r>
  <r>
    <x v="2"/>
    <x v="0"/>
    <s v="BS"/>
    <s v="Current assets (unlabelled subtotal)"/>
    <s v="Empire|Current assets (unlabelled subtotal)"/>
    <x v="9"/>
    <n v="3255.5"/>
    <s v="empire_2021_AR.pdf"/>
    <n v="50"/>
  </r>
  <r>
    <x v="2"/>
    <x v="0"/>
    <s v="BS"/>
    <s v="Total assets (unlabelled subtotal)"/>
    <s v="Empire|Total assets (unlabelled subtotal)"/>
    <x v="10"/>
    <n v="14632.9"/>
    <s v="empire_2021_AR.pdf"/>
    <n v="50"/>
  </r>
  <r>
    <x v="2"/>
    <x v="0"/>
    <s v="BS"/>
    <s v="Current liabilities (unlabelled subtotal)"/>
    <s v="Empire|Current liabilities (unlabelled subtotal)"/>
    <x v="11"/>
    <n v="4060"/>
    <s v="empire_2021_AR.pdf"/>
    <n v="50"/>
  </r>
  <r>
    <x v="2"/>
    <x v="0"/>
    <s v="BS"/>
    <s v="Total liabilities (unlabelled subtotal)"/>
    <s v="Empire|Total liabilities (unlabelled subtotal)"/>
    <x v="12"/>
    <n v="10619"/>
    <s v="empire_2021_AR.pdf"/>
    <n v="50"/>
  </r>
  <r>
    <x v="2"/>
    <x v="0"/>
    <s v="BS"/>
    <s v="Total equity (unlabelled subtotal)"/>
    <s v="Empire|Total equity (unlabelled subtotal)"/>
    <x v="13"/>
    <n v="4013.9"/>
    <s v="empire_2021_AR.pdf"/>
    <n v="50"/>
  </r>
  <r>
    <x v="2"/>
    <x v="0"/>
    <s v="BS"/>
    <s v="Shareholders' equity before non-controlling interest (unlabelled subtotal)"/>
    <s v="Empire|Shareholders' equity before non-controlling interest (unlabelled subtotal)"/>
    <x v="14"/>
    <n v="3924.6"/>
    <s v="empire_2021_AR.pdf"/>
    <n v="50"/>
  </r>
  <r>
    <x v="2"/>
    <x v="0"/>
    <s v="CF"/>
    <s v="Cash flows from operating activities"/>
    <s v="Empire|Cash flows from operating activities"/>
    <x v="15"/>
    <n v="2089.4"/>
    <s v="empire_2021_AR.pdf"/>
    <n v="54"/>
  </r>
  <r>
    <x v="2"/>
    <x v="0"/>
    <s v="CF"/>
    <s v="Property, equipment and investment property purchases"/>
    <s v="Empire|Property, equipment and investment property purchases"/>
    <x v="16"/>
    <n v="548.79999999999995"/>
    <s v="empire_2021_AR.pdf"/>
    <n v="54"/>
  </r>
  <r>
    <x v="2"/>
    <x v="0"/>
    <s v="CF"/>
    <s v="Additions to intangibles"/>
    <s v="Empire|Additions to intangibles"/>
    <x v="17"/>
    <n v="69"/>
    <s v="empire_2021_AR.pdf"/>
    <n v="54"/>
  </r>
  <r>
    <x v="2"/>
    <x v="0"/>
    <s v="CF"/>
    <s v="Payments of lease liabilities (principal portion)"/>
    <s v="Empire|Payments of lease liabilities (principal portion)"/>
    <x v="18"/>
    <n v="392.1"/>
    <s v="empire_2021_AR.pdf"/>
    <n v="54"/>
  </r>
  <r>
    <x v="2"/>
    <x v="1"/>
    <s v="IS"/>
    <s v="Sales"/>
    <s v="Empire|Sales"/>
    <x v="0"/>
    <n v="28268.3"/>
    <s v="empire_2021_AR.pdf"/>
    <n v="51"/>
  </r>
  <r>
    <x v="2"/>
    <x v="1"/>
    <s v="IS"/>
    <s v="Cost of sales"/>
    <s v="Empire|Cost of sales"/>
    <x v="1"/>
    <n v="21069"/>
    <s v="empire_2021_AR.pdf"/>
    <n v="51"/>
  </r>
  <r>
    <x v="2"/>
    <x v="1"/>
    <s v="IS"/>
    <s v="Finance costs, net"/>
    <s v="Empire|Finance costs, net"/>
    <x v="2"/>
    <n v="269.39999999999998"/>
    <s v="empire_2021_AR.pdf"/>
    <n v="51"/>
  </r>
  <r>
    <x v="2"/>
    <x v="1"/>
    <s v="IS"/>
    <s v="Earnings before income taxes"/>
    <s v="Empire|Earnings before income taxes"/>
    <x v="3"/>
    <n v="1030.0999999999999"/>
    <s v="empire_2021_AR.pdf"/>
    <n v="51"/>
  </r>
  <r>
    <x v="2"/>
    <x v="1"/>
    <s v="IS"/>
    <s v="Income tax expense"/>
    <s v="Empire|Income tax expense"/>
    <x v="4"/>
    <n v="265.89999999999998"/>
    <s v="empire_2021_AR.pdf"/>
    <n v="51"/>
  </r>
  <r>
    <x v="2"/>
    <x v="1"/>
    <s v="IS"/>
    <s v="No discontinued operations"/>
    <s v="Empire|No discontinued operations"/>
    <x v="5"/>
    <n v="0"/>
    <s v="empire_2021_AR.pdf"/>
    <n v="51"/>
  </r>
  <r>
    <x v="2"/>
    <x v="1"/>
    <s v="IS"/>
    <s v="Net earnings"/>
    <s v="Empire|Net earnings"/>
    <x v="6"/>
    <n v="764.2"/>
    <s v="empire_2021_AR.pdf"/>
    <n v="51"/>
  </r>
  <r>
    <x v="2"/>
    <x v="1"/>
    <s v="IS"/>
    <s v="Owners of the Company"/>
    <s v="Empire|Owners of the Company"/>
    <x v="7"/>
    <n v="701.5"/>
    <s v="empire_2021_AR.pdf"/>
    <n v="51"/>
  </r>
  <r>
    <x v="2"/>
    <x v="1"/>
    <s v="BS"/>
    <s v="Inventories"/>
    <s v="Empire|Inventories"/>
    <x v="8"/>
    <n v="1500.1"/>
    <s v="empire_2021_AR.pdf"/>
    <n v="50"/>
  </r>
  <r>
    <x v="2"/>
    <x v="1"/>
    <s v="BS"/>
    <s v="Current assets (unlabelled subtotal)"/>
    <s v="Empire|Current assets (unlabelled subtotal)"/>
    <x v="9"/>
    <n v="3193.5"/>
    <s v="empire_2021_AR.pdf"/>
    <n v="50"/>
  </r>
  <r>
    <x v="2"/>
    <x v="1"/>
    <s v="BS"/>
    <s v="Total assets (unlabelled subtotal)"/>
    <s v="Empire|Total assets (unlabelled subtotal)"/>
    <x v="10"/>
    <n v="15173.9"/>
    <s v="empire_2021_AR.pdf"/>
    <n v="50"/>
  </r>
  <r>
    <x v="2"/>
    <x v="1"/>
    <s v="BS"/>
    <s v="Current liabilities (unlabelled subtotal)"/>
    <s v="Empire|Current liabilities (unlabelled subtotal)"/>
    <x v="11"/>
    <n v="3488.2"/>
    <s v="empire_2021_AR.pdf"/>
    <n v="50"/>
  </r>
  <r>
    <x v="2"/>
    <x v="1"/>
    <s v="BS"/>
    <s v="Total liabilities (unlabelled subtotal)"/>
    <s v="Empire|Total liabilities (unlabelled subtotal)"/>
    <x v="12"/>
    <n v="10675.9"/>
    <s v="empire_2021_AR.pdf"/>
    <n v="50"/>
  </r>
  <r>
    <x v="2"/>
    <x v="1"/>
    <s v="BS"/>
    <s v="Total equity (unlabelled subtotal)"/>
    <s v="Empire|Total equity (unlabelled subtotal)"/>
    <x v="13"/>
    <n v="4498"/>
    <s v="empire_2021_AR.pdf"/>
    <n v="50"/>
  </r>
  <r>
    <x v="2"/>
    <x v="1"/>
    <s v="BS"/>
    <s v="Shareholders' equity before non-controlling interest (unlabelled subtotal)"/>
    <s v="Empire|Shareholders' equity before non-controlling interest (unlabelled subtotal)"/>
    <x v="14"/>
    <n v="4372.7"/>
    <s v="empire_2021_AR.pdf"/>
    <n v="50"/>
  </r>
  <r>
    <x v="2"/>
    <x v="1"/>
    <s v="CF"/>
    <s v="Cash flows from operating activities"/>
    <s v="Empire|Cash flows from operating activities"/>
    <x v="15"/>
    <n v="1859.6"/>
    <s v="empire_2021_AR.pdf"/>
    <n v="54"/>
  </r>
  <r>
    <x v="2"/>
    <x v="1"/>
    <s v="CF"/>
    <s v="Property, equipment and investment property purchases"/>
    <s v="Empire|Property, equipment and investment property purchases"/>
    <x v="16"/>
    <n v="566.29999999999995"/>
    <s v="empire_2021_AR.pdf"/>
    <n v="54"/>
  </r>
  <r>
    <x v="2"/>
    <x v="1"/>
    <s v="CF"/>
    <s v="Additions to intangibles"/>
    <s v="Empire|Additions to intangibles"/>
    <x v="17"/>
    <n v="92.8"/>
    <s v="empire_2021_AR.pdf"/>
    <n v="54"/>
  </r>
  <r>
    <x v="2"/>
    <x v="1"/>
    <s v="CF"/>
    <s v="Payments of lease liabilities (principal portion)"/>
    <s v="Empire|Payments of lease liabilities (principal portion)"/>
    <x v="18"/>
    <n v="420.1"/>
    <s v="empire_2021_AR.pdf"/>
    <n v="54"/>
  </r>
  <r>
    <x v="2"/>
    <x v="2"/>
    <s v="IS"/>
    <s v="Sales"/>
    <s v="Empire|Sales"/>
    <x v="0"/>
    <n v="30162.400000000001"/>
    <s v="empire_2023_AR.pdf"/>
    <n v="60"/>
  </r>
  <r>
    <x v="2"/>
    <x v="2"/>
    <s v="IS"/>
    <s v="Cost of sales"/>
    <s v="Empire|Cost of sales"/>
    <x v="1"/>
    <n v="22502.7"/>
    <s v="empire_2023_AR.pdf"/>
    <n v="60"/>
  </r>
  <r>
    <x v="2"/>
    <x v="2"/>
    <s v="IS"/>
    <s v="Finance costs, net"/>
    <s v="Empire|Finance costs, net"/>
    <x v="2"/>
    <n v="282.10000000000002"/>
    <s v="empire_2023_AR.pdf"/>
    <n v="60"/>
  </r>
  <r>
    <x v="2"/>
    <x v="2"/>
    <s v="IS"/>
    <s v="Earnings before income taxes"/>
    <s v="Empire|Earnings before income taxes"/>
    <x v="3"/>
    <n v="1081.5999999999999"/>
    <s v="empire_2023_AR.pdf"/>
    <n v="60"/>
  </r>
  <r>
    <x v="2"/>
    <x v="2"/>
    <s v="IS"/>
    <s v="Income tax expense"/>
    <s v="Empire|Income tax expense"/>
    <x v="4"/>
    <n v="270.3"/>
    <s v="empire_2023_AR.pdf"/>
    <n v="60"/>
  </r>
  <r>
    <x v="2"/>
    <x v="2"/>
    <s v="IS"/>
    <s v="No discontinued operations"/>
    <s v="Empire|No discontinued operations"/>
    <x v="5"/>
    <n v="0"/>
    <s v="empire_2023_AR.pdf"/>
    <n v="60"/>
  </r>
  <r>
    <x v="2"/>
    <x v="2"/>
    <s v="IS"/>
    <s v="Net earnings"/>
    <s v="Empire|Net earnings"/>
    <x v="6"/>
    <n v="811.3"/>
    <s v="empire_2023_AR.pdf"/>
    <n v="60"/>
  </r>
  <r>
    <x v="2"/>
    <x v="2"/>
    <s v="IS"/>
    <s v="Owners of the Company"/>
    <s v="Empire|Owners of the Company"/>
    <x v="7"/>
    <n v="745.8"/>
    <s v="empire_2023_AR.pdf"/>
    <n v="60"/>
  </r>
  <r>
    <x v="2"/>
    <x v="2"/>
    <s v="BS"/>
    <s v="Inventories"/>
    <s v="Empire|Inventories"/>
    <x v="8"/>
    <n v="1591.5"/>
    <s v="empire_2023_AR.pdf"/>
    <n v="59"/>
  </r>
  <r>
    <x v="2"/>
    <x v="2"/>
    <s v="BS"/>
    <s v="Current assets (unlabelled subtotal)"/>
    <s v="Empire|Current assets (unlabelled subtotal)"/>
    <x v="9"/>
    <n v="3212.7"/>
    <s v="empire_2023_AR.pdf"/>
    <n v="59"/>
  </r>
  <r>
    <x v="2"/>
    <x v="2"/>
    <s v="BS"/>
    <s v="Total assets (unlabelled subtotal)"/>
    <s v="Empire|Total assets (unlabelled subtotal)"/>
    <x v="10"/>
    <n v="16593.599999999999"/>
    <s v="empire_2023_AR.pdf"/>
    <n v="59"/>
  </r>
  <r>
    <x v="2"/>
    <x v="2"/>
    <s v="BS"/>
    <s v="Current liabilities (unlabelled subtotal)"/>
    <s v="Empire|Current liabilities (unlabelled subtotal)"/>
    <x v="11"/>
    <n v="4239.7"/>
    <s v="empire_2023_AR.pdf"/>
    <n v="59"/>
  </r>
  <r>
    <x v="2"/>
    <x v="2"/>
    <s v="BS"/>
    <s v="Total liabilities (unlabelled subtotal)"/>
    <s v="Empire|Total liabilities (unlabelled subtotal)"/>
    <x v="12"/>
    <n v="11459.7"/>
    <s v="empire_2023_AR.pdf"/>
    <n v="59"/>
  </r>
  <r>
    <x v="2"/>
    <x v="2"/>
    <s v="BS"/>
    <s v="Total equity (unlabelled subtotal)"/>
    <s v="Empire|Total equity (unlabelled subtotal)"/>
    <x v="13"/>
    <n v="5133.8999999999996"/>
    <s v="empire_2023_AR.pdf"/>
    <n v="59"/>
  </r>
  <r>
    <x v="2"/>
    <x v="2"/>
    <s v="BS"/>
    <s v="Shareholders' equity before non-controlling interest (unlabelled subtotal)"/>
    <s v="Empire|Shareholders' equity before non-controlling interest (unlabelled subtotal)"/>
    <x v="14"/>
    <n v="4991.5"/>
    <s v="empire_2023_AR.pdf"/>
    <n v="59"/>
  </r>
  <r>
    <x v="2"/>
    <x v="2"/>
    <s v="CF"/>
    <s v="Cash flows from operating activities"/>
    <s v="Empire|Cash flows from operating activities"/>
    <x v="15"/>
    <n v="2107.1"/>
    <s v="empire_2023_AR.pdf"/>
    <n v="63"/>
  </r>
  <r>
    <x v="2"/>
    <x v="2"/>
    <s v="CF"/>
    <s v="Property, equipment and investment property purchases"/>
    <s v="Empire|Property, equipment and investment property purchases"/>
    <x v="16"/>
    <n v="633"/>
    <s v="empire_2023_AR.pdf"/>
    <n v="63"/>
  </r>
  <r>
    <x v="2"/>
    <x v="2"/>
    <s v="CF"/>
    <s v="Intangible purchases"/>
    <s v="Empire|Intangible purchases"/>
    <x v="17"/>
    <n v="147.30000000000001"/>
    <s v="empire_2023_AR.pdf"/>
    <n v="63"/>
  </r>
  <r>
    <x v="2"/>
    <x v="2"/>
    <s v="CF"/>
    <s v="Payments of lease liabilities (principal portion)"/>
    <s v="Empire|Payments of lease liabilities (principal portion)"/>
    <x v="18"/>
    <n v="482.8"/>
    <s v="empire_2023_AR.pdf"/>
    <n v="63"/>
  </r>
  <r>
    <x v="2"/>
    <x v="3"/>
    <s v="IS"/>
    <s v="Sales"/>
    <s v="Empire|Sales"/>
    <x v="0"/>
    <n v="30478.1"/>
    <s v="empire_2023_AR.pdf"/>
    <n v="60"/>
  </r>
  <r>
    <x v="2"/>
    <x v="3"/>
    <s v="IS"/>
    <s v="Cost of sales"/>
    <s v="Empire|Cost of sales"/>
    <x v="1"/>
    <n v="22685.4"/>
    <s v="empire_2023_AR.pdf"/>
    <n v="60"/>
  </r>
  <r>
    <x v="2"/>
    <x v="3"/>
    <s v="IS"/>
    <s v="Finance costs, net"/>
    <s v="Empire|Finance costs, net"/>
    <x v="2"/>
    <n v="267"/>
    <s v="empire_2023_AR.pdf"/>
    <n v="60"/>
  </r>
  <r>
    <x v="2"/>
    <x v="3"/>
    <s v="IS"/>
    <s v="Earnings before income taxes"/>
    <s v="Empire|Earnings before income taxes"/>
    <x v="3"/>
    <n v="965.4"/>
    <s v="empire_2023_AR.pdf"/>
    <n v="60"/>
  </r>
  <r>
    <x v="2"/>
    <x v="3"/>
    <s v="IS"/>
    <s v="Income tax expense"/>
    <s v="Empire|Income tax expense"/>
    <x v="4"/>
    <n v="237.7"/>
    <s v="empire_2023_AR.pdf"/>
    <n v="60"/>
  </r>
  <r>
    <x v="2"/>
    <x v="3"/>
    <s v="IS"/>
    <s v="No discontinued operations"/>
    <s v="Empire|No discontinued operations"/>
    <x v="5"/>
    <n v="0"/>
    <s v="empire_2023_AR.pdf"/>
    <n v="60"/>
  </r>
  <r>
    <x v="2"/>
    <x v="3"/>
    <s v="IS"/>
    <s v="Net earnings"/>
    <s v="Empire|Net earnings"/>
    <x v="6"/>
    <n v="727.7"/>
    <s v="empire_2023_AR.pdf"/>
    <n v="60"/>
  </r>
  <r>
    <x v="2"/>
    <x v="3"/>
    <s v="IS"/>
    <s v="Owners of the Company"/>
    <s v="Empire|Owners of the Company"/>
    <x v="7"/>
    <n v="686"/>
    <s v="empire_2023_AR.pdf"/>
    <n v="60"/>
  </r>
  <r>
    <x v="2"/>
    <x v="3"/>
    <s v="BS"/>
    <s v="Inventories"/>
    <s v="Empire|Inventories"/>
    <x v="8"/>
    <n v="1743.3"/>
    <s v="empire_2023_AR.pdf"/>
    <n v="59"/>
  </r>
  <r>
    <x v="2"/>
    <x v="3"/>
    <s v="BS"/>
    <s v="Current assets (unlabelled subtotal)"/>
    <s v="Empire|Current assets (unlabelled subtotal)"/>
    <x v="9"/>
    <n v="2955"/>
    <s v="empire_2023_AR.pdf"/>
    <n v="59"/>
  </r>
  <r>
    <x v="2"/>
    <x v="3"/>
    <s v="BS"/>
    <s v="Total assets (unlabelled subtotal)"/>
    <s v="Empire|Total assets (unlabelled subtotal)"/>
    <x v="10"/>
    <n v="16483.7"/>
    <s v="empire_2023_AR.pdf"/>
    <n v="59"/>
  </r>
  <r>
    <x v="2"/>
    <x v="3"/>
    <s v="BS"/>
    <s v="Current liabilities (unlabelled subtotal)"/>
    <s v="Empire|Current liabilities (unlabelled subtotal)"/>
    <x v="11"/>
    <n v="3857.5"/>
    <s v="empire_2023_AR.pdf"/>
    <n v="59"/>
  </r>
  <r>
    <x v="2"/>
    <x v="3"/>
    <s v="BS"/>
    <s v="Total liabilities (unlabelled subtotal)"/>
    <s v="Empire|Total liabilities (unlabelled subtotal)"/>
    <x v="12"/>
    <n v="11147"/>
    <s v="empire_2023_AR.pdf"/>
    <n v="59"/>
  </r>
  <r>
    <x v="2"/>
    <x v="3"/>
    <s v="BS"/>
    <s v="Total equity (unlabelled subtotal)"/>
    <s v="Empire|Total equity (unlabelled subtotal)"/>
    <x v="13"/>
    <n v="5336.7"/>
    <s v="empire_2023_AR.pdf"/>
    <n v="59"/>
  </r>
  <r>
    <x v="2"/>
    <x v="3"/>
    <s v="BS"/>
    <s v="Shareholders' equity before non-controlling interest (unlabelled subtotal)"/>
    <s v="Empire|Shareholders' equity before non-controlling interest (unlabelled subtotal)"/>
    <x v="14"/>
    <n v="5200.3999999999996"/>
    <s v="empire_2023_AR.pdf"/>
    <n v="59"/>
  </r>
  <r>
    <x v="2"/>
    <x v="3"/>
    <s v="CF"/>
    <s v="Cash flows from operating activities"/>
    <s v="Empire|Cash flows from operating activities"/>
    <x v="15"/>
    <n v="1605.3"/>
    <s v="empire_2023_AR.pdf"/>
    <n v="63"/>
  </r>
  <r>
    <x v="2"/>
    <x v="3"/>
    <s v="CF"/>
    <s v="Property, equipment and investment property purchases"/>
    <s v="Empire|Property, equipment and investment property purchases"/>
    <x v="16"/>
    <n v="574.20000000000005"/>
    <s v="empire_2023_AR.pdf"/>
    <n v="63"/>
  </r>
  <r>
    <x v="2"/>
    <x v="3"/>
    <s v="CF"/>
    <s v="Intangible purchases"/>
    <s v="Empire|Intangible purchases"/>
    <x v="17"/>
    <n v="183.5"/>
    <s v="empire_2023_AR.pdf"/>
    <n v="63"/>
  </r>
  <r>
    <x v="2"/>
    <x v="3"/>
    <s v="CF"/>
    <s v="Payments of lease liabilities (principal portion)"/>
    <s v="Empire|Payments of lease liabilities (principal portion)"/>
    <x v="18"/>
    <n v="507.6"/>
    <s v="empire_2023_AR.pdf"/>
    <n v="63"/>
  </r>
  <r>
    <x v="2"/>
    <x v="4"/>
    <s v="IS"/>
    <s v="Sales"/>
    <s v="Empire|Sales"/>
    <x v="0"/>
    <n v="30733"/>
    <s v="empire_2025_AR.pdf"/>
    <n v="56"/>
  </r>
  <r>
    <x v="2"/>
    <x v="4"/>
    <s v="IS"/>
    <s v="Cost of sales"/>
    <s v="Empire|Cost of sales"/>
    <x v="1"/>
    <n v="22662"/>
    <s v="empire_2025_AR.pdf"/>
    <n v="56"/>
  </r>
  <r>
    <x v="2"/>
    <x v="4"/>
    <s v="IS"/>
    <s v="Finance costs, net"/>
    <s v="Empire|Finance costs, net"/>
    <x v="2"/>
    <n v="282"/>
    <s v="empire_2025_AR.pdf"/>
    <n v="56"/>
  </r>
  <r>
    <x v="2"/>
    <x v="4"/>
    <s v="IS"/>
    <s v="Earnings before income taxes"/>
    <s v="Empire|Earnings before income taxes"/>
    <x v="3"/>
    <n v="1029"/>
    <s v="empire_2025_AR.pdf"/>
    <n v="56"/>
  </r>
  <r>
    <x v="2"/>
    <x v="4"/>
    <s v="IS"/>
    <s v="Income tax expense"/>
    <s v="Empire|Income tax expense"/>
    <x v="4"/>
    <n v="266"/>
    <s v="empire_2025_AR.pdf"/>
    <n v="56"/>
  </r>
  <r>
    <x v="2"/>
    <x v="4"/>
    <s v="IS"/>
    <s v="No discontinued operations"/>
    <s v="Empire|No discontinued operations"/>
    <x v="5"/>
    <n v="0"/>
    <s v="empire_2025_AR.pdf"/>
    <n v="56"/>
  </r>
  <r>
    <x v="2"/>
    <x v="4"/>
    <s v="IS"/>
    <s v="Net earnings"/>
    <s v="Empire|Net earnings"/>
    <x v="6"/>
    <n v="763"/>
    <s v="empire_2025_AR.pdf"/>
    <n v="56"/>
  </r>
  <r>
    <x v="2"/>
    <x v="4"/>
    <s v="IS"/>
    <s v="Owners of the Company"/>
    <s v="Empire|Owners of the Company"/>
    <x v="7"/>
    <n v="726"/>
    <s v="empire_2025_AR.pdf"/>
    <n v="56"/>
  </r>
  <r>
    <x v="2"/>
    <x v="4"/>
    <s v="BS"/>
    <s v="Inventories"/>
    <s v="Empire|Inventories"/>
    <x v="8"/>
    <n v="1772"/>
    <s v="empire_2025_AR.pdf"/>
    <n v="55"/>
  </r>
  <r>
    <x v="2"/>
    <x v="4"/>
    <s v="BS"/>
    <s v="Total current assets"/>
    <s v="Empire|Total current assets"/>
    <x v="9"/>
    <n v="3104"/>
    <s v="empire_2025_AR.pdf"/>
    <n v="55"/>
  </r>
  <r>
    <x v="2"/>
    <x v="4"/>
    <s v="BS"/>
    <s v="Total assets"/>
    <s v="Empire|Total assets"/>
    <x v="10"/>
    <n v="16790"/>
    <s v="empire_2025_AR.pdf"/>
    <n v="55"/>
  </r>
  <r>
    <x v="2"/>
    <x v="4"/>
    <s v="BS"/>
    <s v="Total current liabilities"/>
    <s v="Empire|Total current liabilities"/>
    <x v="11"/>
    <n v="3891"/>
    <s v="empire_2025_AR.pdf"/>
    <n v="55"/>
  </r>
  <r>
    <x v="2"/>
    <x v="4"/>
    <s v="BS"/>
    <s v="Total liabilities"/>
    <s v="Empire|Total liabilities"/>
    <x v="12"/>
    <n v="11321"/>
    <s v="empire_2025_AR.pdf"/>
    <n v="55"/>
  </r>
  <r>
    <x v="2"/>
    <x v="4"/>
    <s v="BS"/>
    <s v="Total equity"/>
    <s v="Empire|Total equity"/>
    <x v="13"/>
    <n v="5469"/>
    <s v="empire_2025_AR.pdf"/>
    <n v="55"/>
  </r>
  <r>
    <x v="2"/>
    <x v="4"/>
    <s v="BS"/>
    <s v="Total equity attributable to Owners of the Company"/>
    <s v="Empire|Total equity attributable to Owners of the Company"/>
    <x v="14"/>
    <n v="5341"/>
    <s v="empire_2025_AR.pdf"/>
    <n v="55"/>
  </r>
  <r>
    <x v="2"/>
    <x v="4"/>
    <s v="CF"/>
    <s v="Cash flows from operating activities"/>
    <s v="Empire|Cash flows from operating activities"/>
    <x v="15"/>
    <n v="2073"/>
    <s v="empire_2025_AR.pdf"/>
    <n v="59"/>
  </r>
  <r>
    <x v="2"/>
    <x v="4"/>
    <s v="CF"/>
    <s v="Property, equipment and investment property purchases"/>
    <s v="Empire|Property, equipment and investment property purchases"/>
    <x v="16"/>
    <n v="705"/>
    <s v="empire_2025_AR.pdf"/>
    <n v="59"/>
  </r>
  <r>
    <x v="2"/>
    <x v="4"/>
    <s v="CF"/>
    <s v="Intangible purchases"/>
    <s v="Empire|Intangible purchases"/>
    <x v="17"/>
    <n v="94"/>
    <s v="empire_2025_AR.pdf"/>
    <n v="59"/>
  </r>
  <r>
    <x v="2"/>
    <x v="4"/>
    <s v="CF"/>
    <s v="Payments of lease liabilities (principal portion)"/>
    <s v="Empire|Payments of lease liabilities (principal portion)"/>
    <x v="18"/>
    <n v="527"/>
    <s v="empire_2025_AR.pdf"/>
    <n v="59"/>
  </r>
  <r>
    <x v="2"/>
    <x v="5"/>
    <s v="IS"/>
    <s v="Sales"/>
    <s v="Empire|Sales"/>
    <x v="0"/>
    <n v="31277"/>
    <s v="empire_2025_AR.pdf"/>
    <n v="56"/>
  </r>
  <r>
    <x v="2"/>
    <x v="5"/>
    <s v="IS"/>
    <s v="Cost of sales"/>
    <s v="Empire|Cost of sales"/>
    <x v="1"/>
    <n v="22895"/>
    <s v="empire_2025_AR.pdf"/>
    <n v="56"/>
  </r>
  <r>
    <x v="2"/>
    <x v="5"/>
    <s v="IS"/>
    <s v="Finance costs, net"/>
    <s v="Empire|Finance costs, net"/>
    <x v="2"/>
    <n v="294"/>
    <s v="empire_2025_AR.pdf"/>
    <n v="56"/>
  </r>
  <r>
    <x v="2"/>
    <x v="5"/>
    <s v="IS"/>
    <s v="Earnings before income taxes"/>
    <s v="Empire|Earnings before income taxes"/>
    <x v="3"/>
    <n v="995"/>
    <s v="empire_2025_AR.pdf"/>
    <n v="56"/>
  </r>
  <r>
    <x v="2"/>
    <x v="5"/>
    <s v="IS"/>
    <s v="Income tax expense"/>
    <s v="Empire|Income tax expense"/>
    <x v="4"/>
    <n v="249"/>
    <s v="empire_2025_AR.pdf"/>
    <n v="56"/>
  </r>
  <r>
    <x v="2"/>
    <x v="5"/>
    <s v="IS"/>
    <s v="No discontinued operations"/>
    <s v="Empire|No discontinued operations"/>
    <x v="5"/>
    <n v="0"/>
    <s v="empire_2025_AR.pdf"/>
    <n v="56"/>
  </r>
  <r>
    <x v="2"/>
    <x v="5"/>
    <s v="IS"/>
    <s v="Net earnings"/>
    <s v="Empire|Net earnings"/>
    <x v="6"/>
    <n v="746"/>
    <s v="empire_2025_AR.pdf"/>
    <n v="56"/>
  </r>
  <r>
    <x v="2"/>
    <x v="5"/>
    <s v="IS"/>
    <s v="Owners of the Company"/>
    <s v="Empire|Owners of the Company"/>
    <x v="7"/>
    <n v="700"/>
    <s v="empire_2025_AR.pdf"/>
    <n v="56"/>
  </r>
  <r>
    <x v="2"/>
    <x v="5"/>
    <s v="BS"/>
    <s v="Inventories"/>
    <s v="Empire|Inventories"/>
    <x v="8"/>
    <n v="1833"/>
    <s v="empire_2025_AR.pdf"/>
    <n v="55"/>
  </r>
  <r>
    <x v="2"/>
    <x v="5"/>
    <s v="BS"/>
    <s v="Total current assets"/>
    <s v="Empire|Total current assets"/>
    <x v="9"/>
    <n v="3134"/>
    <s v="empire_2025_AR.pdf"/>
    <n v="55"/>
  </r>
  <r>
    <x v="2"/>
    <x v="5"/>
    <s v="BS"/>
    <s v="Total assets"/>
    <s v="Empire|Total assets"/>
    <x v="10"/>
    <n v="17019"/>
    <s v="empire_2025_AR.pdf"/>
    <n v="55"/>
  </r>
  <r>
    <x v="2"/>
    <x v="5"/>
    <s v="BS"/>
    <s v="Total current liabilities"/>
    <s v="Empire|Total current liabilities"/>
    <x v="11"/>
    <n v="4096"/>
    <s v="empire_2025_AR.pdf"/>
    <n v="55"/>
  </r>
  <r>
    <x v="2"/>
    <x v="5"/>
    <s v="BS"/>
    <s v="Total liabilities"/>
    <s v="Empire|Total liabilities"/>
    <x v="12"/>
    <n v="11475"/>
    <s v="empire_2025_AR.pdf"/>
    <n v="55"/>
  </r>
  <r>
    <x v="2"/>
    <x v="5"/>
    <s v="BS"/>
    <s v="Total equity"/>
    <s v="Empire|Total equity"/>
    <x v="13"/>
    <n v="5544"/>
    <s v="empire_2025_AR.pdf"/>
    <n v="55"/>
  </r>
  <r>
    <x v="2"/>
    <x v="5"/>
    <s v="BS"/>
    <s v="Total equity attributable to Owners of the Company"/>
    <s v="Empire|Total equity attributable to Owners of the Company"/>
    <x v="14"/>
    <n v="5410"/>
    <s v="empire_2025_AR.pdf"/>
    <n v="55"/>
  </r>
  <r>
    <x v="2"/>
    <x v="5"/>
    <s v="CF"/>
    <s v="Cash flows from operating activities"/>
    <s v="Empire|Cash flows from operating activities"/>
    <x v="15"/>
    <n v="2127"/>
    <s v="empire_2025_AR.pdf"/>
    <n v="59"/>
  </r>
  <r>
    <x v="2"/>
    <x v="5"/>
    <s v="CF"/>
    <s v="Property, equipment and investment property purchases"/>
    <s v="Empire|Property, equipment and investment property purchases"/>
    <x v="16"/>
    <n v="640"/>
    <s v="empire_2025_AR.pdf"/>
    <n v="59"/>
  </r>
  <r>
    <x v="2"/>
    <x v="5"/>
    <s v="CF"/>
    <s v="Intangible purchases"/>
    <s v="Empire|Intangible purchases"/>
    <x v="17"/>
    <n v="137"/>
    <s v="empire_2025_AR.pdf"/>
    <n v="59"/>
  </r>
  <r>
    <x v="2"/>
    <x v="5"/>
    <s v="CF"/>
    <s v="Payments of lease liabilities (principal portion)"/>
    <s v="Empire|Payments of lease liabilities (principal portion)"/>
    <x v="18"/>
    <n v="548"/>
    <s v="empire_2025_AR.pdf"/>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46909-A417-4509-96CF-7AC8A65795F4}" name="ptTrend" cacheId="0" applyNumberFormats="0" applyBorderFormats="0" applyFontFormats="0" applyPatternFormats="0" applyAlignmentFormats="0" applyWidthHeightFormats="1" dataCaption="值" updatedVersion="8" minRefreshableVersion="3" useAutoFormatting="1" rowGrandTotals="0" colGrandTotals="0" itemPrintTitles="1" createdVersion="5" indent="0" outline="1" outlineData="1" multipleFieldFilters="0" chartFormat="1" rowHeaderCaption="Fiscal year" colHeaderCaption="Company">
  <location ref="H7:K14" firstHeaderRow="1" firstDataRow="2" firstDataCol="1" rowPageCount="1" colPageCount="1"/>
  <pivotFields count="9">
    <pivotField axis="axisCol" showAll="0">
      <items count="4">
        <item x="0"/>
        <item x="1"/>
        <item x="2"/>
        <item t="default"/>
      </items>
    </pivotField>
    <pivotField axis="axisRow" showAll="0">
      <items count="7">
        <item x="0"/>
        <item x="1"/>
        <item x="2"/>
        <item x="3"/>
        <item x="4"/>
        <item x="5"/>
        <item t="default"/>
      </items>
    </pivotField>
    <pivotField showAll="0"/>
    <pivotField showAll="0"/>
    <pivotField showAll="0"/>
    <pivotField axis="axisPage" showAll="0">
      <items count="20">
        <item x="15"/>
        <item x="1"/>
        <item x="3"/>
        <item x="14"/>
        <item x="4"/>
        <item x="8"/>
        <item x="18"/>
        <item x="6"/>
        <item x="7"/>
        <item x="5"/>
        <item x="2"/>
        <item x="16"/>
        <item x="17"/>
        <item x="0"/>
        <item x="10"/>
        <item x="9"/>
        <item x="11"/>
        <item x="13"/>
        <item x="12"/>
        <item t="default"/>
      </items>
    </pivotField>
    <pivotField dataField="1" numFmtId="178" showAll="0"/>
    <pivotField showAll="0"/>
    <pivotField showAll="0"/>
  </pivotFields>
  <rowFields count="1">
    <field x="1"/>
  </rowFields>
  <rowItems count="6">
    <i>
      <x/>
    </i>
    <i>
      <x v="1"/>
    </i>
    <i>
      <x v="2"/>
    </i>
    <i>
      <x v="3"/>
    </i>
    <i>
      <x v="4"/>
    </i>
    <i>
      <x v="5"/>
    </i>
  </rowItems>
  <colFields count="1">
    <field x="0"/>
  </colFields>
  <colItems count="3">
    <i>
      <x/>
    </i>
    <i>
      <x v="1"/>
    </i>
    <i>
      <x v="2"/>
    </i>
  </colItems>
  <pageFields count="1">
    <pageField fld="5" item="13" hier="-1"/>
  </pageFields>
  <dataFields count="1">
    <dataField name="Amount (C$ m)" fld="6" baseField="0"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61D7E-B0CD-48A7-88C4-48AF6BD26111}" name="ptLineItems" cacheId="0" applyNumberFormats="0" applyBorderFormats="0" applyFontFormats="0" applyPatternFormats="0" applyAlignmentFormats="0" applyWidthHeightFormats="1" dataCaption="值" updatedVersion="8" minRefreshableVersion="3" useAutoFormatting="1" rowGrandTotals="0" colGrandTotals="0" itemPrintTitles="1" createdVersion="5" indent="0" outline="1" outlineData="1" multipleFieldFilters="0" rowHeaderCaption="Line item" colHeaderCaption="Company">
  <location ref="A7:D27" firstHeaderRow="1" firstDataRow="2" firstDataCol="1" rowPageCount="1" colPageCount="1"/>
  <pivotFields count="9">
    <pivotField axis="axisCol" showAll="0">
      <items count="4">
        <item x="0"/>
        <item x="1"/>
        <item x="2"/>
        <item t="default"/>
      </items>
    </pivotField>
    <pivotField axis="axisPage" showAll="0">
      <items count="7">
        <item x="0"/>
        <item x="1"/>
        <item x="2"/>
        <item x="3"/>
        <item x="4"/>
        <item x="5"/>
        <item t="default"/>
      </items>
    </pivotField>
    <pivotField showAll="0"/>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 dataField="1" numFmtId="178" showAll="0"/>
    <pivotField showAll="0"/>
    <pivotField showAll="0"/>
  </pivotFields>
  <rowFields count="1">
    <field x="5"/>
  </rowFields>
  <rowItems count="19">
    <i>
      <x/>
    </i>
    <i>
      <x v="1"/>
    </i>
    <i>
      <x v="2"/>
    </i>
    <i>
      <x v="3"/>
    </i>
    <i>
      <x v="4"/>
    </i>
    <i>
      <x v="5"/>
    </i>
    <i>
      <x v="6"/>
    </i>
    <i>
      <x v="7"/>
    </i>
    <i>
      <x v="8"/>
    </i>
    <i>
      <x v="9"/>
    </i>
    <i>
      <x v="10"/>
    </i>
    <i>
      <x v="11"/>
    </i>
    <i>
      <x v="12"/>
    </i>
    <i>
      <x v="13"/>
    </i>
    <i>
      <x v="14"/>
    </i>
    <i>
      <x v="15"/>
    </i>
    <i>
      <x v="16"/>
    </i>
    <i>
      <x v="17"/>
    </i>
    <i>
      <x v="18"/>
    </i>
  </rowItems>
  <colFields count="1">
    <field x="0"/>
  </colFields>
  <colItems count="3">
    <i>
      <x/>
    </i>
    <i>
      <x v="1"/>
    </i>
    <i>
      <x v="2"/>
    </i>
  </colItems>
  <pageFields count="1">
    <pageField fld="1" item="5" hier="-1"/>
  </pageFields>
  <dataFields count="1">
    <dataField name="Amount (C$ m)" fld="6"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Fiscal_year" xr10:uid="{1533D2D8-9E2B-403E-96FC-6D7AA3795A9A}" sourceName="Fiscal year">
  <pivotTables>
    <pivotTable tabId="8" name="ptLineItems"/>
  </pivotTables>
  <data>
    <tabular pivotCacheId="1358933361">
      <items count="6">
        <i x="0"/>
        <i x="1"/>
        <i x="2"/>
        <i x="3"/>
        <i x="4"/>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Standard_line_item" xr10:uid="{60A3C213-EF74-4144-AD3D-3C07850156F0}" sourceName="Standard line item">
  <pivotTables>
    <pivotTable tabId="8" name="ptTrend"/>
  </pivotTables>
  <data>
    <tabular pivotCacheId="1358933361">
      <items count="19">
        <i x="15"/>
        <i x="1"/>
        <i x="3"/>
        <i x="14"/>
        <i x="4"/>
        <i x="8"/>
        <i x="18"/>
        <i x="6"/>
        <i x="7"/>
        <i x="5"/>
        <i x="2"/>
        <i x="16"/>
        <i x="17"/>
        <i x="0" s="1"/>
        <i x="10"/>
        <i x="9"/>
        <i x="11"/>
        <i x="13"/>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FiscalYear" xr10:uid="{07CDFC5C-B3BB-44FB-BFD3-BFA311EAAEBD}" cache="切片器_Fiscal_year" caption="Fiscal year (left pivot)" rowHeight="241300"/>
  <slicer name="slLineItem" xr10:uid="{A7EEB75B-E695-4A6A-BB54-72767DDCE7D8}" cache="切片器_Standard_line_item" caption="Line item (right pivot and char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064DCB-8B30-4560-AD60-F10E1E443111}" name="tblData" displayName="tblData" ref="A5:I347" totalsRowShown="0">
  <autoFilter ref="A5:I347" xr:uid="{74064DCB-8B30-4560-AD60-F10E1E443111}"/>
  <tableColumns count="9">
    <tableColumn id="1" xr3:uid="{A4D06A10-DE7C-4289-880E-0DC1DAB000D1}" name="Company"/>
    <tableColumn id="2" xr3:uid="{66EB787F-8806-49F6-98E1-6E81DC743157}" name="Fiscal year"/>
    <tableColumn id="3" xr3:uid="{24B38567-4132-4A8D-B4DC-A5ADB2F1E8D4}" name="Statement"/>
    <tableColumn id="4" xr3:uid="{B89660A3-7512-49B5-87BF-32CDF18A0AD0}" name="Line item as reported"/>
    <tableColumn id="5" xr3:uid="{616A5F24-4B0F-4EBE-9127-180869E3E714}" name="Map key">
      <calculatedColumnFormula>tblData[[#This Row],[Company]]&amp;"|"&amp;tblData[[#This Row],[Line item as reported]]</calculatedColumnFormula>
    </tableColumn>
    <tableColumn id="6" xr3:uid="{C71EEF32-BDE8-4F6B-A1FC-761BEFB7750A}" name="Standard line item">
      <calculatedColumnFormula>_xlfn.XLOOKUP(tblData[[#This Row],[Map key]],tblMap[Map key],tblMap[Standard line item],"UNMAPPED")</calculatedColumnFormula>
    </tableColumn>
    <tableColumn id="7" xr3:uid="{FEAF1D98-235F-461B-8583-BD77869021D9}" name="Amount" dataDxfId="22"/>
    <tableColumn id="8" xr3:uid="{8EBABA72-8C8E-4580-BF26-537A60B04064}" name="Source document"/>
    <tableColumn id="9" xr3:uid="{4AE6BFA8-FEDB-447C-9EB2-DD2006991097}" name="PDF p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D1D24-C314-4EFF-9C67-0915432BE58F}" name="tblMap" displayName="tblMap" ref="A5:F75" totalsRowShown="0">
  <autoFilter ref="A5:F75" xr:uid="{AA3D1D24-C314-4EFF-9C67-0915432BE58F}"/>
  <tableColumns count="6">
    <tableColumn id="1" xr3:uid="{95567223-5617-4579-8EA5-F63DEF3A6775}" name="Map key">
      <calculatedColumnFormula>tblMap[[#This Row],[Company]]&amp;"|"&amp;tblMap[[#This Row],[Line item as reported]]</calculatedColumnFormula>
    </tableColumn>
    <tableColumn id="2" xr3:uid="{39D38FEC-950B-4374-B425-5EFE2955FACC}" name="Company"/>
    <tableColumn id="3" xr3:uid="{314DB85F-FA7D-4946-AF8A-97704D7210E7}" name="Line item as reported"/>
    <tableColumn id="4" xr3:uid="{BCFA8922-C554-4297-B153-0D2C8CD49C8C}" name="Standard line item"/>
    <tableColumn id="5" xr3:uid="{5DDC207C-D4AA-40B0-B5B3-1FED130E3713}" name="Statement"/>
    <tableColumn id="6" xr3:uid="{4AB74967-3F7E-4C04-BC89-2973A032E96D}" name="Note"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660E00-39B7-491F-B4BD-FE3C2253165F}" name="tblPeriods" displayName="tblPeriods" ref="A5:I23" totalsRowShown="0">
  <autoFilter ref="A5:I23" xr:uid="{B1660E00-39B7-491F-B4BD-FE3C2253165F}"/>
  <tableColumns count="9">
    <tableColumn id="1" xr3:uid="{4854D74B-375B-46B6-A98F-B5268884C4CE}" name="Key">
      <calculatedColumnFormula>tblPeriods[[#This Row],[Company]]&amp;"|"&amp;tblPeriods[[#This Row],[Fiscal year]]</calculatedColumnFormula>
    </tableColumn>
    <tableColumn id="2" xr3:uid="{E809BDBC-1A8D-4C9E-84F6-97E5CA3A52BC}" name="Company"/>
    <tableColumn id="3" xr3:uid="{59C8D6E6-3F6A-418A-AD0D-ECD2113F2339}" name="Fiscal year"/>
    <tableColumn id="4" xr3:uid="{EA4EFC5F-440C-4EDF-991D-95DE5766D9CB}" name="Period end" dataDxfId="20"/>
    <tableColumn id="5" xr3:uid="{546BDA68-D6E4-4EE7-97DE-1D0EE4CB659D}" name="Weeks" dataDxfId="19"/>
    <tableColumn id="6" xr3:uid="{4F90203A-16D9-4A53-A109-D51919A2D5AB}" name="Company-reported gross margin" dataDxfId="18"/>
    <tableColumn id="7" xr3:uid="{ECFBD919-DE08-4EA1-A31F-BB008003D2E3}" name="Source of reported margin" dataDxfId="17"/>
    <tableColumn id="8" xr3:uid="{65D65982-24D0-4671-8331-4E7BF6C0B462}" name="Gross margin gap explained" dataDxfId="16"/>
    <tableColumn id="9" xr3:uid="{DC56C4D4-06B3-44C9-A7DD-9765926C48BA}" name="Note" dataDxfId="15"/>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mpireco.ca/annual-documents" TargetMode="External"/><Relationship Id="rId2" Type="http://schemas.openxmlformats.org/officeDocument/2006/relationships/hyperlink" Target="https://www.corpo.metro.ca/en/investor-relations/financial-information/annual-reports.html" TargetMode="External"/><Relationship Id="rId1" Type="http://schemas.openxmlformats.org/officeDocument/2006/relationships/hyperlink" Target="https://www.loblaw.ca/en/investors-repor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F10B-F63D-4FB7-8942-0D967F1725F1}">
  <sheetPr>
    <tabColor rgb="FF1F3864"/>
  </sheetPr>
  <dimension ref="A1:C27"/>
  <sheetViews>
    <sheetView showGridLines="0" tabSelected="1" workbookViewId="0"/>
  </sheetViews>
  <sheetFormatPr defaultRowHeight="14.5" x14ac:dyDescent="0.35"/>
  <cols>
    <col min="1" max="1" width="26.6328125" customWidth="1"/>
    <col min="2" max="2" width="110.6328125" customWidth="1"/>
    <col min="3" max="3" width="40.6328125" customWidth="1"/>
  </cols>
  <sheetData>
    <row r="1" spans="1:2" ht="21" x14ac:dyDescent="0.35">
      <c r="A1" s="1" t="s">
        <v>236</v>
      </c>
    </row>
    <row r="2" spans="1:2" x14ac:dyDescent="0.35">
      <c r="A2" s="3" t="s">
        <v>237</v>
      </c>
    </row>
    <row r="4" spans="1:2" ht="29" x14ac:dyDescent="0.35">
      <c r="A4" s="65" t="s">
        <v>238</v>
      </c>
      <c r="B4" s="44" t="s">
        <v>239</v>
      </c>
    </row>
    <row r="5" spans="1:2" ht="29" x14ac:dyDescent="0.35">
      <c r="A5" s="65" t="s">
        <v>240</v>
      </c>
      <c r="B5" s="44" t="s">
        <v>241</v>
      </c>
    </row>
    <row r="6" spans="1:2" x14ac:dyDescent="0.35">
      <c r="A6" s="65" t="s">
        <v>242</v>
      </c>
      <c r="B6" s="44" t="s">
        <v>243</v>
      </c>
    </row>
    <row r="7" spans="1:2" x14ac:dyDescent="0.35">
      <c r="A7" s="65" t="s">
        <v>244</v>
      </c>
      <c r="B7" s="44" t="s">
        <v>245</v>
      </c>
    </row>
    <row r="8" spans="1:2" ht="29" x14ac:dyDescent="0.35">
      <c r="A8" s="65" t="s">
        <v>246</v>
      </c>
      <c r="B8" s="44" t="s">
        <v>247</v>
      </c>
    </row>
    <row r="9" spans="1:2" x14ac:dyDescent="0.35">
      <c r="A9" s="65" t="s">
        <v>248</v>
      </c>
      <c r="B9" s="44" t="s">
        <v>249</v>
      </c>
    </row>
    <row r="11" spans="1:2" ht="17" x14ac:dyDescent="0.35">
      <c r="A11" s="39" t="s">
        <v>250</v>
      </c>
    </row>
    <row r="12" spans="1:2" x14ac:dyDescent="0.35">
      <c r="A12" s="64" t="s">
        <v>251</v>
      </c>
      <c r="B12" t="s">
        <v>252</v>
      </c>
    </row>
    <row r="13" spans="1:2" x14ac:dyDescent="0.35">
      <c r="A13" s="64" t="s">
        <v>253</v>
      </c>
      <c r="B13" t="s">
        <v>254</v>
      </c>
    </row>
    <row r="14" spans="1:2" x14ac:dyDescent="0.35">
      <c r="A14" s="64" t="s">
        <v>255</v>
      </c>
      <c r="B14" t="s">
        <v>256</v>
      </c>
    </row>
    <row r="15" spans="1:2" x14ac:dyDescent="0.35">
      <c r="A15" s="64" t="s">
        <v>257</v>
      </c>
      <c r="B15" t="s">
        <v>258</v>
      </c>
    </row>
    <row r="16" spans="1:2" x14ac:dyDescent="0.35">
      <c r="A16" s="64" t="s">
        <v>259</v>
      </c>
      <c r="B16" t="s">
        <v>260</v>
      </c>
    </row>
    <row r="17" spans="1:3" x14ac:dyDescent="0.35">
      <c r="A17" s="64" t="s">
        <v>261</v>
      </c>
      <c r="B17" t="s">
        <v>262</v>
      </c>
    </row>
    <row r="18" spans="1:3" x14ac:dyDescent="0.35">
      <c r="A18" s="64" t="s">
        <v>263</v>
      </c>
      <c r="B18" t="s">
        <v>264</v>
      </c>
    </row>
    <row r="19" spans="1:3" x14ac:dyDescent="0.35">
      <c r="A19" s="64" t="s">
        <v>265</v>
      </c>
      <c r="B19" t="s">
        <v>266</v>
      </c>
    </row>
    <row r="20" spans="1:3" x14ac:dyDescent="0.35">
      <c r="A20" s="64" t="s">
        <v>242</v>
      </c>
      <c r="B20" t="s">
        <v>267</v>
      </c>
    </row>
    <row r="21" spans="1:3" x14ac:dyDescent="0.35">
      <c r="A21" s="64" t="s">
        <v>268</v>
      </c>
      <c r="B21" t="s">
        <v>269</v>
      </c>
    </row>
    <row r="22" spans="1:3" x14ac:dyDescent="0.35">
      <c r="A22" s="64" t="s">
        <v>270</v>
      </c>
      <c r="B22" t="s">
        <v>271</v>
      </c>
    </row>
    <row r="24" spans="1:3" ht="17" x14ac:dyDescent="0.35">
      <c r="A24" s="39" t="s">
        <v>272</v>
      </c>
    </row>
    <row r="25" spans="1:3" x14ac:dyDescent="0.35">
      <c r="A25" t="s">
        <v>273</v>
      </c>
      <c r="B25" t="s">
        <v>274</v>
      </c>
      <c r="C25" s="64" t="s">
        <v>275</v>
      </c>
    </row>
    <row r="26" spans="1:3" x14ac:dyDescent="0.35">
      <c r="A26" t="s">
        <v>276</v>
      </c>
      <c r="B26" t="s">
        <v>277</v>
      </c>
      <c r="C26" s="64" t="s">
        <v>278</v>
      </c>
    </row>
    <row r="27" spans="1:3" x14ac:dyDescent="0.35">
      <c r="A27" t="s">
        <v>279</v>
      </c>
      <c r="B27" t="s">
        <v>277</v>
      </c>
      <c r="C27" s="64" t="s">
        <v>280</v>
      </c>
    </row>
  </sheetData>
  <phoneticPr fontId="4" type="noConversion"/>
  <hyperlinks>
    <hyperlink ref="A12" location="'Dashboard'!A1" display="Dashboard" xr:uid="{EDE0EDC6-4BB2-433E-A880-B0741289F2B6}"/>
    <hyperlink ref="A13" location="'Findings'!A1" display="Findings" xr:uid="{791D3C8A-08FB-4872-BB6C-C2DB8A058F68}"/>
    <hyperlink ref="A14" location="'Ratios'!A1" display="Ratios" xr:uid="{74F99225-4D72-493A-ABEC-E8F25162DBED}"/>
    <hyperlink ref="A15" location="'Model'!A1" display="Model" xr:uid="{B3E01D11-E376-4672-B6E0-89B53F2A750F}"/>
    <hyperlink ref="A16" location="'YoY'!A1" display="YoY" xr:uid="{7BBE03CF-10AB-49D6-A171-F20AF1BEAA8E}"/>
    <hyperlink ref="A17" location="'Forecast'!A1" display="Forecast" xr:uid="{A13A5622-24CD-40BA-83AA-86CFD74980F0}"/>
    <hyperlink ref="A18" location="'Pivot'!A1" display="Pivot" xr:uid="{DBE77137-608B-4E02-8C16-0BB54DF4CC1C}"/>
    <hyperlink ref="A19" location="'Checks'!A1" display="Checks" xr:uid="{4FBCD826-F093-48D0-ADBB-528DC0248A62}"/>
    <hyperlink ref="A20" location="'Data'!A1" display="Data" xr:uid="{0B180AD8-253D-4E00-8916-64239540E71B}"/>
    <hyperlink ref="A21" location="'Map'!A1" display="Map" xr:uid="{8EC1E880-E320-4C99-92D6-0A48462EE4E9}"/>
    <hyperlink ref="A22" location="'Periods'!A1" display="Periods" xr:uid="{971D505A-B100-44A8-A58B-9BDFFF7BD798}"/>
    <hyperlink ref="C25" r:id="rId1" xr:uid="{64C431D4-77B3-49C9-A7E7-C141319346C5}"/>
    <hyperlink ref="C26" r:id="rId2" xr:uid="{D50CC100-2EED-4FDE-B927-73D6088A269E}"/>
    <hyperlink ref="C27" r:id="rId3" xr:uid="{51A3C8BA-F903-4DAE-A705-45D3C8E21B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D2B4-5814-4191-938D-31DF3A0D81C4}">
  <sheetPr>
    <tabColor rgb="FF1F3864"/>
  </sheetPr>
  <dimension ref="A1:H23"/>
  <sheetViews>
    <sheetView showGridLines="0" workbookViewId="0"/>
  </sheetViews>
  <sheetFormatPr defaultRowHeight="14.5" x14ac:dyDescent="0.35"/>
  <cols>
    <col min="1" max="1" width="2.6328125" customWidth="1"/>
    <col min="2" max="2" width="28.6328125" customWidth="1"/>
    <col min="3" max="8" width="14.6328125" customWidth="1"/>
  </cols>
  <sheetData>
    <row r="1" spans="1:8" ht="21" x14ac:dyDescent="0.35">
      <c r="A1" s="1" t="s">
        <v>226</v>
      </c>
    </row>
    <row r="2" spans="1:8" x14ac:dyDescent="0.35">
      <c r="A2" s="3" t="s">
        <v>227</v>
      </c>
    </row>
    <row r="4" spans="1:8" x14ac:dyDescent="0.35">
      <c r="B4" s="10" t="s">
        <v>228</v>
      </c>
      <c r="C4" s="47" t="s">
        <v>8</v>
      </c>
    </row>
    <row r="6" spans="1:8" ht="30" customHeight="1" x14ac:dyDescent="0.35">
      <c r="B6" s="54" t="s">
        <v>229</v>
      </c>
      <c r="C6" s="54" t="s">
        <v>136</v>
      </c>
      <c r="D6" s="54" t="s">
        <v>138</v>
      </c>
      <c r="E6" s="54" t="s">
        <v>231</v>
      </c>
      <c r="F6" s="54" t="s">
        <v>142</v>
      </c>
      <c r="G6" s="54" t="s">
        <v>154</v>
      </c>
    </row>
    <row r="7" spans="1:8" ht="23.5" x14ac:dyDescent="0.35">
      <c r="B7" s="55">
        <f>SUMIFS(tblData[Amount],tblData[Company],$C$4,tblData[Fiscal year],2025,tblData[Standard line item],"Revenue")/1000</f>
        <v>63.902999999999999</v>
      </c>
      <c r="C7" s="57">
        <f>_xlfn.XLOOKUP($C$4&amp;"|Revenue growth (per week)",Ratios!$A$5:$A$60,Ratios!$I$5:$I$60)</f>
        <v>4.2816942249520373E-2</v>
      </c>
      <c r="D7" s="58">
        <f>_xlfn.XLOOKUP($C$4&amp;"|Gross margin",Ratios!$A$5:$A$60,Ratios!$I$5:$I$60)</f>
        <v>0.31347511071467693</v>
      </c>
      <c r="E7" s="58">
        <f>_xlfn.XLOOKUP($C$4&amp;"|Operating (EBIT) margin",Ratios!$A$5:$A$60,Ratios!$I$5:$I$60)</f>
        <v>6.9229926607514508E-2</v>
      </c>
      <c r="F7" s="58">
        <f>_xlfn.XLOOKUP($C$4&amp;"|Net margin",Ratios!$A$5:$A$60,Ratios!$I$5:$I$60)</f>
        <v>4.2846188754831545E-2</v>
      </c>
      <c r="G7" s="59">
        <f>_xlfn.XLOOKUP($C$4&amp;"|Days inventory",Ratios!$A$5:$A$60,Ratios!$I$5:$I$60)</f>
        <v>54.891864785393544</v>
      </c>
    </row>
    <row r="8" spans="1:8" x14ac:dyDescent="0.35">
      <c r="B8" s="56" t="s">
        <v>230</v>
      </c>
      <c r="C8" s="56" t="s">
        <v>230</v>
      </c>
      <c r="D8" s="56" t="s">
        <v>230</v>
      </c>
      <c r="E8" s="56" t="s">
        <v>230</v>
      </c>
      <c r="F8" s="56" t="s">
        <v>230</v>
      </c>
      <c r="G8" s="56" t="s">
        <v>230</v>
      </c>
    </row>
    <row r="10" spans="1:8" ht="17" x14ac:dyDescent="0.35">
      <c r="B10" s="39" t="str">
        <f>"All ratios for "&amp;$C$4</f>
        <v>All ratios for Loblaw</v>
      </c>
    </row>
    <row r="11" spans="1:8" x14ac:dyDescent="0.35">
      <c r="B11" s="11" t="s">
        <v>131</v>
      </c>
      <c r="C11" s="12">
        <v>2020</v>
      </c>
      <c r="D11" s="12">
        <v>2021</v>
      </c>
      <c r="E11" s="12">
        <v>2022</v>
      </c>
      <c r="F11" s="12">
        <v>2023</v>
      </c>
      <c r="G11" s="12">
        <v>2024</v>
      </c>
      <c r="H11" s="12">
        <v>2025</v>
      </c>
    </row>
    <row r="12" spans="1:8" x14ac:dyDescent="0.35">
      <c r="B12" t="s">
        <v>133</v>
      </c>
      <c r="C12" s="22" t="str">
        <f>_xlfn.XLOOKUP($C$4&amp;"|"&amp;$B12,Ratios!$A$5:$A$60,Ratios!D$5:D$60)</f>
        <v>n/a</v>
      </c>
      <c r="D12" s="22">
        <f>_xlfn.XLOOKUP($C$4&amp;"|"&amp;$B12,Ratios!$A$5:$A$60,Ratios!E$5:E$60)</f>
        <v>8.6504533899913749E-3</v>
      </c>
      <c r="E12" s="22">
        <f>_xlfn.XLOOKUP($C$4&amp;"|"&amp;$B12,Ratios!$A$5:$A$60,Ratios!F$5:F$60)</f>
        <v>6.270453263118303E-2</v>
      </c>
      <c r="F12" s="22">
        <f>_xlfn.XLOOKUP($C$4&amp;"|"&amp;$B12,Ratios!$A$5:$A$60,Ratios!G$5:G$60)</f>
        <v>5.3536032847232073E-2</v>
      </c>
      <c r="G12" s="22">
        <f>_xlfn.XLOOKUP($C$4&amp;"|"&amp;$B12,Ratios!$A$5:$A$60,Ratios!H$5:H$60)</f>
        <v>9.9783298896336525E-3</v>
      </c>
      <c r="H12" s="22">
        <f>_xlfn.XLOOKUP($C$4&amp;"|"&amp;$B12,Ratios!$A$5:$A$60,Ratios!I$5:I$60)</f>
        <v>6.287111421585756E-2</v>
      </c>
    </row>
    <row r="13" spans="1:8" x14ac:dyDescent="0.35">
      <c r="B13" t="s">
        <v>136</v>
      </c>
      <c r="C13" s="22" t="str">
        <f>_xlfn.XLOOKUP($C$4&amp;"|"&amp;$B13,Ratios!$A$5:$A$60,Ratios!D$5:D$60)</f>
        <v>n/a</v>
      </c>
      <c r="D13" s="22">
        <f>_xlfn.XLOOKUP($C$4&amp;"|"&amp;$B13,Ratios!$A$5:$A$60,Ratios!E$5:E$60)</f>
        <v>2.8047577493645059E-2</v>
      </c>
      <c r="E13" s="22">
        <f>_xlfn.XLOOKUP($C$4&amp;"|"&amp;$B13,Ratios!$A$5:$A$60,Ratios!F$5:F$60)</f>
        <v>6.2704532631182808E-2</v>
      </c>
      <c r="F13" s="22">
        <f>_xlfn.XLOOKUP($C$4&amp;"|"&amp;$B13,Ratios!$A$5:$A$60,Ratios!G$5:G$60)</f>
        <v>5.3536032847232073E-2</v>
      </c>
      <c r="G13" s="22">
        <f>_xlfn.XLOOKUP($C$4&amp;"|"&amp;$B13,Ratios!$A$5:$A$60,Ratios!H$5:H$60)</f>
        <v>9.9783298896338746E-3</v>
      </c>
      <c r="H13" s="22">
        <f>_xlfn.XLOOKUP($C$4&amp;"|"&amp;$B13,Ratios!$A$5:$A$60,Ratios!I$5:I$60)</f>
        <v>4.2816942249520373E-2</v>
      </c>
    </row>
    <row r="14" spans="1:8" x14ac:dyDescent="0.35">
      <c r="B14" t="s">
        <v>138</v>
      </c>
      <c r="C14" s="22">
        <f>_xlfn.XLOOKUP($C$4&amp;"|"&amp;$B14,Ratios!$A$5:$A$60,Ratios!D$5:D$60)</f>
        <v>0.30331600713282997</v>
      </c>
      <c r="D14" s="22">
        <f>_xlfn.XLOOKUP($C$4&amp;"|"&amp;$B14,Ratios!$A$5:$A$60,Ratios!E$5:E$60)</f>
        <v>0.31472634944517586</v>
      </c>
      <c r="E14" s="22">
        <f>_xlfn.XLOOKUP($C$4&amp;"|"&amp;$B14,Ratios!$A$5:$A$60,Ratios!F$5:F$60)</f>
        <v>0.31813676907829536</v>
      </c>
      <c r="F14" s="22">
        <f>_xlfn.XLOOKUP($C$4&amp;"|"&amp;$B14,Ratios!$A$5:$A$60,Ratios!G$5:G$60)</f>
        <v>0.31979371398814022</v>
      </c>
      <c r="G14" s="22">
        <f>_xlfn.XLOOKUP($C$4&amp;"|"&amp;$B14,Ratios!$A$5:$A$60,Ratios!H$5:H$60)</f>
        <v>0.3132744540358931</v>
      </c>
      <c r="H14" s="22">
        <f>_xlfn.XLOOKUP($C$4&amp;"|"&amp;$B14,Ratios!$A$5:$A$60,Ratios!I$5:I$60)</f>
        <v>0.31347511071467693</v>
      </c>
    </row>
    <row r="15" spans="1:8" x14ac:dyDescent="0.35">
      <c r="B15" t="s">
        <v>140</v>
      </c>
      <c r="C15" s="22">
        <f>_xlfn.XLOOKUP($C$4&amp;"|"&amp;$B15,Ratios!$A$5:$A$60,Ratios!D$5:D$60)</f>
        <v>4.4864741814318779E-2</v>
      </c>
      <c r="D15" s="22">
        <f>_xlfn.XLOOKUP($C$4&amp;"|"&amp;$B15,Ratios!$A$5:$A$60,Ratios!E$5:E$60)</f>
        <v>5.523791611811172E-2</v>
      </c>
      <c r="E15" s="22">
        <f>_xlfn.XLOOKUP($C$4&amp;"|"&amp;$B15,Ratios!$A$5:$A$60,Ratios!F$5:F$60)</f>
        <v>5.9146255132380011E-2</v>
      </c>
      <c r="F15" s="22">
        <f>_xlfn.XLOOKUP($C$4&amp;"|"&amp;$B15,Ratios!$A$5:$A$60,Ratios!G$5:G$60)</f>
        <v>6.2221774261284418E-2</v>
      </c>
      <c r="G15" s="22">
        <f>_xlfn.XLOOKUP($C$4&amp;"|"&amp;$B15,Ratios!$A$5:$A$60,Ratios!H$5:H$60)</f>
        <v>5.7781547826954743E-2</v>
      </c>
      <c r="H15" s="22">
        <f>_xlfn.XLOOKUP($C$4&amp;"|"&amp;$B15,Ratios!$A$5:$A$60,Ratios!I$5:I$60)</f>
        <v>6.9229926607514508E-2</v>
      </c>
    </row>
    <row r="16" spans="1:8" x14ac:dyDescent="0.35">
      <c r="B16" t="s">
        <v>142</v>
      </c>
      <c r="C16" s="22">
        <f>_xlfn.XLOOKUP($C$4&amp;"|"&amp;$B16,Ratios!$A$5:$A$60,Ratios!D$5:D$60)</f>
        <v>2.2612588686117541E-2</v>
      </c>
      <c r="D16" s="22">
        <f>_xlfn.XLOOKUP($C$4&amp;"|"&amp;$B16,Ratios!$A$5:$A$60,Ratios!E$5:E$60)</f>
        <v>3.7163814180929094E-2</v>
      </c>
      <c r="E16" s="22">
        <f>_xlfn.XLOOKUP($C$4&amp;"|"&amp;$B16,Ratios!$A$5:$A$60,Ratios!F$5:F$60)</f>
        <v>3.5289537023927509E-2</v>
      </c>
      <c r="F16" s="22">
        <f>_xlfn.XLOOKUP($C$4&amp;"|"&amp;$B16,Ratios!$A$5:$A$60,Ratios!G$5:G$60)</f>
        <v>3.6738396411832887E-2</v>
      </c>
      <c r="G16" s="22">
        <f>_xlfn.XLOOKUP($C$4&amp;"|"&amp;$B16,Ratios!$A$5:$A$60,Ratios!H$5:H$60)</f>
        <v>3.7839096518803121E-2</v>
      </c>
      <c r="H16" s="22">
        <f>_xlfn.XLOOKUP($C$4&amp;"|"&amp;$B16,Ratios!$A$5:$A$60,Ratios!I$5:I$60)</f>
        <v>4.2846188754831545E-2</v>
      </c>
    </row>
    <row r="17" spans="2:8" x14ac:dyDescent="0.35">
      <c r="B17" t="s">
        <v>144</v>
      </c>
      <c r="C17" s="22">
        <f>_xlfn.XLOOKUP($C$4&amp;"|"&amp;$B17,Ratios!$A$5:$A$60,Ratios!D$5:D$60)</f>
        <v>0.26555760936537276</v>
      </c>
      <c r="D17" s="22">
        <f>_xlfn.XLOOKUP($C$4&amp;"|"&amp;$B17,Ratios!$A$5:$A$60,Ratios!E$5:E$60)</f>
        <v>0.19082719082719082</v>
      </c>
      <c r="E17" s="22">
        <f>_xlfn.XLOOKUP($C$4&amp;"|"&amp;$B17,Ratios!$A$5:$A$60,Ratios!F$5:F$60)</f>
        <v>0.25009402030838662</v>
      </c>
      <c r="F17" s="22">
        <f>_xlfn.XLOOKUP($C$4&amp;"|"&amp;$B17,Ratios!$A$5:$A$60,Ratios!G$5:G$60)</f>
        <v>0.24612202688728024</v>
      </c>
      <c r="G17" s="22">
        <f>_xlfn.XLOOKUP($C$4&amp;"|"&amp;$B17,Ratios!$A$5:$A$60,Ratios!H$5:H$60)</f>
        <v>0.26191329272662128</v>
      </c>
      <c r="H17" s="22">
        <f>_xlfn.XLOOKUP($C$4&amp;"|"&amp;$B17,Ratios!$A$5:$A$60,Ratios!I$5:I$60)</f>
        <v>0.29331884845192829</v>
      </c>
    </row>
    <row r="18" spans="2:8" x14ac:dyDescent="0.35">
      <c r="B18" t="s">
        <v>146</v>
      </c>
      <c r="C18" s="22">
        <f>_xlfn.XLOOKUP($C$4&amp;"|"&amp;$B18,Ratios!$A$5:$A$60,Ratios!D$5:D$60)</f>
        <v>0.10083727702948671</v>
      </c>
      <c r="D18" s="22">
        <f>_xlfn.XLOOKUP($C$4&amp;"|"&amp;$B18,Ratios!$A$5:$A$60,Ratios!E$5:E$60)</f>
        <v>0.16201503499524755</v>
      </c>
      <c r="E18" s="22">
        <f>_xlfn.XLOOKUP($C$4&amp;"|"&amp;$B18,Ratios!$A$5:$A$60,Ratios!F$5:F$60)</f>
        <v>0.17001504557925481</v>
      </c>
      <c r="F18" s="22">
        <f>_xlfn.XLOOKUP($C$4&amp;"|"&amp;$B18,Ratios!$A$5:$A$60,Ratios!G$5:G$60)</f>
        <v>0.18318213538032099</v>
      </c>
      <c r="G18" s="22">
        <f>_xlfn.XLOOKUP($C$4&amp;"|"&amp;$B18,Ratios!$A$5:$A$60,Ratios!H$5:H$60)</f>
        <v>0.19574429717789199</v>
      </c>
      <c r="H18" s="22">
        <f>_xlfn.XLOOKUP($C$4&amp;"|"&amp;$B18,Ratios!$A$5:$A$60,Ratios!I$5:I$60)</f>
        <v>0.24183895538628944</v>
      </c>
    </row>
    <row r="19" spans="2:8" x14ac:dyDescent="0.35">
      <c r="B19" t="s">
        <v>148</v>
      </c>
      <c r="C19" s="22">
        <f>_xlfn.XLOOKUP($C$4&amp;"|"&amp;$B19,Ratios!$A$5:$A$60,Ratios!D$5:D$60)</f>
        <v>3.3228333286873135E-2</v>
      </c>
      <c r="D19" s="22">
        <f>_xlfn.XLOOKUP($C$4&amp;"|"&amp;$B19,Ratios!$A$5:$A$60,Ratios!E$5:E$60)</f>
        <v>5.3968427377505873E-2</v>
      </c>
      <c r="E19" s="22">
        <f>_xlfn.XLOOKUP($C$4&amp;"|"&amp;$B19,Ratios!$A$5:$A$60,Ratios!F$5:F$60)</f>
        <v>5.2271476131805911E-2</v>
      </c>
      <c r="F19" s="22">
        <f>_xlfn.XLOOKUP($C$4&amp;"|"&amp;$B19,Ratios!$A$5:$A$60,Ratios!G$5:G$60)</f>
        <v>5.6107134610944354E-2</v>
      </c>
      <c r="G19" s="22">
        <f>_xlfn.XLOOKUP($C$4&amp;"|"&amp;$B19,Ratios!$A$5:$A$60,Ratios!H$5:H$60)</f>
        <v>5.565068493150685E-2</v>
      </c>
      <c r="H19" s="22">
        <f>_xlfn.XLOOKUP($C$4&amp;"|"&amp;$B19,Ratios!$A$5:$A$60,Ratios!I$5:I$60)</f>
        <v>6.5853717199413131E-2</v>
      </c>
    </row>
    <row r="20" spans="2:8" x14ac:dyDescent="0.35">
      <c r="B20" t="s">
        <v>150</v>
      </c>
      <c r="C20" s="60">
        <f>_xlfn.XLOOKUP($C$4&amp;"|"&amp;$B20,Ratios!$A$5:$A$60,Ratios!D$5:D$60)</f>
        <v>1.3171288371562251</v>
      </c>
      <c r="D20" s="60">
        <f>_xlfn.XLOOKUP($C$4&amp;"|"&amp;$B20,Ratios!$A$5:$A$60,Ratios!E$5:E$60)</f>
        <v>1.3741844280121791</v>
      </c>
      <c r="E20" s="60">
        <f>_xlfn.XLOOKUP($C$4&amp;"|"&amp;$B20,Ratios!$A$5:$A$60,Ratios!F$5:F$60)</f>
        <v>1.3246187363834423</v>
      </c>
      <c r="F20" s="60">
        <f>_xlfn.XLOOKUP($C$4&amp;"|"&amp;$B20,Ratios!$A$5:$A$60,Ratios!G$5:G$60)</f>
        <v>1.2517746842444915</v>
      </c>
      <c r="G20" s="60">
        <f>_xlfn.XLOOKUP($C$4&amp;"|"&amp;$B20,Ratios!$A$5:$A$60,Ratios!H$5:H$60)</f>
        <v>1.2362338545207341</v>
      </c>
      <c r="H20" s="60">
        <f>_xlfn.XLOOKUP($C$4&amp;"|"&amp;$B20,Ratios!$A$5:$A$60,Ratios!I$5:I$60)</f>
        <v>1.0762797404470079</v>
      </c>
    </row>
    <row r="21" spans="2:8" x14ac:dyDescent="0.35">
      <c r="B21" t="s">
        <v>152</v>
      </c>
      <c r="C21" s="60">
        <f>_xlfn.XLOOKUP($C$4&amp;"|"&amp;$B21,Ratios!$A$5:$A$60,Ratios!D$5:D$60)</f>
        <v>2.226279341667416</v>
      </c>
      <c r="D21" s="60">
        <f>_xlfn.XLOOKUP($C$4&amp;"|"&amp;$B21,Ratios!$A$5:$A$60,Ratios!E$5:E$60)</f>
        <v>2.1195365084774642</v>
      </c>
      <c r="E21" s="60">
        <f>_xlfn.XLOOKUP($C$4&amp;"|"&amp;$B21,Ratios!$A$5:$A$60,Ratios!F$5:F$60)</f>
        <v>2.329870810055866</v>
      </c>
      <c r="F21" s="60">
        <f>_xlfn.XLOOKUP($C$4&amp;"|"&amp;$B21,Ratios!$A$5:$A$60,Ratios!G$5:G$60)</f>
        <v>2.3547637490317581</v>
      </c>
      <c r="G21" s="60">
        <f>_xlfn.XLOOKUP($C$4&amp;"|"&amp;$B21,Ratios!$A$5:$A$60,Ratios!H$5:H$60)</f>
        <v>2.6286170779336056</v>
      </c>
      <c r="H21" s="60">
        <f>_xlfn.XLOOKUP($C$4&amp;"|"&amp;$B21,Ratios!$A$5:$A$60,Ratios!I$5:I$60)</f>
        <v>2.7148856325947106</v>
      </c>
    </row>
    <row r="22" spans="2:8" x14ac:dyDescent="0.35">
      <c r="B22" t="s">
        <v>154</v>
      </c>
      <c r="C22" s="61">
        <f>_xlfn.XLOOKUP($C$4&amp;"|"&amp;$B22,Ratios!$A$5:$A$60,Ratios!D$5:D$60)</f>
        <v>52.480462899931922</v>
      </c>
      <c r="D22" s="61">
        <f>_xlfn.XLOOKUP($C$4&amp;"|"&amp;$B22,Ratios!$A$5:$A$60,Ratios!E$5:E$60)</f>
        <v>51.608958173235258</v>
      </c>
      <c r="E22" s="61">
        <f>_xlfn.XLOOKUP($C$4&amp;"|"&amp;$B22,Ratios!$A$5:$A$60,Ratios!F$5:F$60)</f>
        <v>55.316133720930232</v>
      </c>
      <c r="F22" s="61">
        <f>_xlfn.XLOOKUP($C$4&amp;"|"&amp;$B22,Ratios!$A$5:$A$60,Ratios!G$5:G$60)</f>
        <v>52.318482663242129</v>
      </c>
      <c r="G22" s="61">
        <f>_xlfn.XLOOKUP($C$4&amp;"|"&amp;$B22,Ratios!$A$5:$A$60,Ratios!H$5:H$60)</f>
        <v>55.806045340050375</v>
      </c>
      <c r="H22" s="61">
        <f>_xlfn.XLOOKUP($C$4&amp;"|"&amp;$B22,Ratios!$A$5:$A$60,Ratios!I$5:I$60)</f>
        <v>54.891864785393544</v>
      </c>
    </row>
    <row r="23" spans="2:8" x14ac:dyDescent="0.35">
      <c r="B23" t="s">
        <v>156</v>
      </c>
      <c r="C23" s="22">
        <f>_xlfn.XLOOKUP($C$4&amp;"|"&amp;$B23,Ratios!$A$5:$A$60,Ratios!D$5:D$60)</f>
        <v>5.7081610198429257E-2</v>
      </c>
      <c r="D23" s="22">
        <f>_xlfn.XLOOKUP($C$4&amp;"|"&amp;$B23,Ratios!$A$5:$A$60,Ratios!E$5:E$60)</f>
        <v>4.9369945457965018E-2</v>
      </c>
      <c r="E23" s="22">
        <f>_xlfn.XLOOKUP($C$4&amp;"|"&amp;$B23,Ratios!$A$5:$A$60,Ratios!F$5:F$60)</f>
        <v>3.8758317995186184E-2</v>
      </c>
      <c r="F23" s="22">
        <f>_xlfn.XLOOKUP($C$4&amp;"|"&amp;$B23,Ratios!$A$5:$A$60,Ratios!G$5:G$60)</f>
        <v>4.2181121806178501E-2</v>
      </c>
      <c r="G23" s="22">
        <f>_xlfn.XLOOKUP($C$4&amp;"|"&amp;$B23,Ratios!$A$5:$A$60,Ratios!H$5:H$60)</f>
        <v>4.1847545864311497E-2</v>
      </c>
      <c r="H23" s="22">
        <f>_xlfn.XLOOKUP($C$4&amp;"|"&amp;$B23,Ratios!$A$5:$A$60,Ratios!I$5:I$60)</f>
        <v>4.6116770730638627E-2</v>
      </c>
    </row>
  </sheetData>
  <phoneticPr fontId="4" type="noConversion"/>
  <dataValidations count="1">
    <dataValidation type="list" allowBlank="1" showInputMessage="1" showErrorMessage="1" sqref="C4" xr:uid="{CDAA0EE0-7A4B-430A-B391-60EDDCE2F7F4}">
      <formula1>"Loblaw,Metro,Empire"</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9DBE-CB74-4350-B4BB-6AC36D035DDF}">
  <sheetPr>
    <tabColor rgb="FF1F3864"/>
  </sheetPr>
  <dimension ref="A1:B40"/>
  <sheetViews>
    <sheetView showGridLines="0" workbookViewId="0"/>
  </sheetViews>
  <sheetFormatPr defaultRowHeight="14.5" x14ac:dyDescent="0.35"/>
  <cols>
    <col min="1" max="1" width="4.6328125" style="72" customWidth="1"/>
    <col min="2" max="2" width="130.6328125" customWidth="1"/>
  </cols>
  <sheetData>
    <row r="1" spans="1:2" ht="21" x14ac:dyDescent="0.35">
      <c r="A1" s="68" t="s">
        <v>281</v>
      </c>
    </row>
    <row r="2" spans="1:2" x14ac:dyDescent="0.35">
      <c r="A2" s="69" t="s">
        <v>282</v>
      </c>
    </row>
    <row r="4" spans="1:2" ht="31" x14ac:dyDescent="0.35">
      <c r="A4" s="70"/>
      <c r="B4" s="73" t="s">
        <v>283</v>
      </c>
    </row>
    <row r="5" spans="1:2" x14ac:dyDescent="0.35">
      <c r="A5" s="70"/>
      <c r="B5" s="74"/>
    </row>
    <row r="6" spans="1:2" ht="17" x14ac:dyDescent="0.35">
      <c r="A6" s="70"/>
      <c r="B6" s="75" t="s">
        <v>284</v>
      </c>
    </row>
    <row r="7" spans="1:2" x14ac:dyDescent="0.35">
      <c r="A7" s="71">
        <v>1</v>
      </c>
      <c r="B7" s="76" t="s">
        <v>285</v>
      </c>
    </row>
    <row r="8" spans="1:2" ht="43.5" x14ac:dyDescent="0.35">
      <c r="A8" s="70"/>
      <c r="B8" s="74" t="s">
        <v>286</v>
      </c>
    </row>
    <row r="9" spans="1:2" x14ac:dyDescent="0.35">
      <c r="A9" s="70"/>
      <c r="B9" s="74"/>
    </row>
    <row r="10" spans="1:2" x14ac:dyDescent="0.35">
      <c r="A10" s="71">
        <v>2</v>
      </c>
      <c r="B10" s="76" t="s">
        <v>287</v>
      </c>
    </row>
    <row r="11" spans="1:2" x14ac:dyDescent="0.35">
      <c r="A11" s="70"/>
      <c r="B11" s="74" t="s">
        <v>288</v>
      </c>
    </row>
    <row r="12" spans="1:2" x14ac:dyDescent="0.35">
      <c r="A12" s="70"/>
      <c r="B12" s="74"/>
    </row>
    <row r="13" spans="1:2" x14ac:dyDescent="0.35">
      <c r="A13" s="71">
        <v>3</v>
      </c>
      <c r="B13" s="76" t="s">
        <v>289</v>
      </c>
    </row>
    <row r="14" spans="1:2" ht="43.5" x14ac:dyDescent="0.35">
      <c r="A14" s="70"/>
      <c r="B14" s="74" t="s">
        <v>290</v>
      </c>
    </row>
    <row r="15" spans="1:2" x14ac:dyDescent="0.35">
      <c r="A15" s="70"/>
      <c r="B15" s="74"/>
    </row>
    <row r="16" spans="1:2" x14ac:dyDescent="0.35">
      <c r="A16" s="71">
        <v>4</v>
      </c>
      <c r="B16" s="76" t="s">
        <v>291</v>
      </c>
    </row>
    <row r="17" spans="1:2" ht="29" x14ac:dyDescent="0.35">
      <c r="A17" s="70"/>
      <c r="B17" s="74" t="s">
        <v>292</v>
      </c>
    </row>
    <row r="18" spans="1:2" x14ac:dyDescent="0.35">
      <c r="A18" s="70"/>
      <c r="B18" s="74"/>
    </row>
    <row r="19" spans="1:2" x14ac:dyDescent="0.35">
      <c r="A19" s="71">
        <v>5</v>
      </c>
      <c r="B19" s="76" t="s">
        <v>293</v>
      </c>
    </row>
    <row r="20" spans="1:2" ht="29" x14ac:dyDescent="0.35">
      <c r="A20" s="70"/>
      <c r="B20" s="74" t="s">
        <v>294</v>
      </c>
    </row>
    <row r="21" spans="1:2" x14ac:dyDescent="0.35">
      <c r="A21" s="70"/>
      <c r="B21" s="74"/>
    </row>
    <row r="22" spans="1:2" x14ac:dyDescent="0.35">
      <c r="A22" s="71">
        <v>6</v>
      </c>
      <c r="B22" s="76" t="s">
        <v>295</v>
      </c>
    </row>
    <row r="23" spans="1:2" ht="29" x14ac:dyDescent="0.35">
      <c r="A23" s="70"/>
      <c r="B23" s="74" t="s">
        <v>296</v>
      </c>
    </row>
    <row r="24" spans="1:2" x14ac:dyDescent="0.35">
      <c r="A24" s="70"/>
      <c r="B24" s="74"/>
    </row>
    <row r="25" spans="1:2" x14ac:dyDescent="0.35">
      <c r="A25" s="71">
        <v>7</v>
      </c>
      <c r="B25" s="76" t="s">
        <v>297</v>
      </c>
    </row>
    <row r="26" spans="1:2" ht="29" x14ac:dyDescent="0.35">
      <c r="A26" s="70"/>
      <c r="B26" s="74" t="s">
        <v>298</v>
      </c>
    </row>
    <row r="27" spans="1:2" x14ac:dyDescent="0.35">
      <c r="A27" s="70"/>
      <c r="B27" s="74"/>
    </row>
    <row r="28" spans="1:2" ht="17" x14ac:dyDescent="0.35">
      <c r="A28" s="70"/>
      <c r="B28" s="75" t="s">
        <v>299</v>
      </c>
    </row>
    <row r="29" spans="1:2" x14ac:dyDescent="0.35">
      <c r="A29" s="70" t="s">
        <v>300</v>
      </c>
      <c r="B29" s="74" t="s">
        <v>301</v>
      </c>
    </row>
    <row r="30" spans="1:2" ht="43.5" x14ac:dyDescent="0.35">
      <c r="A30" s="70" t="s">
        <v>300</v>
      </c>
      <c r="B30" s="74" t="s">
        <v>302</v>
      </c>
    </row>
    <row r="31" spans="1:2" ht="29" x14ac:dyDescent="0.35">
      <c r="A31" s="70" t="s">
        <v>300</v>
      </c>
      <c r="B31" s="74" t="s">
        <v>303</v>
      </c>
    </row>
    <row r="32" spans="1:2" x14ac:dyDescent="0.35">
      <c r="A32" s="70" t="s">
        <v>300</v>
      </c>
      <c r="B32" s="74" t="s">
        <v>304</v>
      </c>
    </row>
    <row r="33" spans="1:2" x14ac:dyDescent="0.35">
      <c r="A33" s="70" t="s">
        <v>300</v>
      </c>
      <c r="B33" s="74" t="s">
        <v>305</v>
      </c>
    </row>
    <row r="34" spans="1:2" x14ac:dyDescent="0.35">
      <c r="A34" s="70" t="s">
        <v>300</v>
      </c>
      <c r="B34" s="74" t="s">
        <v>306</v>
      </c>
    </row>
    <row r="35" spans="1:2" x14ac:dyDescent="0.35">
      <c r="A35" s="70"/>
      <c r="B35" s="74"/>
    </row>
    <row r="36" spans="1:2" ht="17" x14ac:dyDescent="0.35">
      <c r="A36" s="70"/>
      <c r="B36" s="75" t="s">
        <v>307</v>
      </c>
    </row>
    <row r="37" spans="1:2" x14ac:dyDescent="0.35">
      <c r="A37" s="70" t="s">
        <v>300</v>
      </c>
      <c r="B37" s="74" t="s">
        <v>308</v>
      </c>
    </row>
    <row r="38" spans="1:2" x14ac:dyDescent="0.35">
      <c r="A38" s="70" t="s">
        <v>300</v>
      </c>
      <c r="B38" s="74" t="s">
        <v>309</v>
      </c>
    </row>
    <row r="39" spans="1:2" x14ac:dyDescent="0.35">
      <c r="A39" s="70" t="s">
        <v>300</v>
      </c>
      <c r="B39" s="74" t="s">
        <v>310</v>
      </c>
    </row>
    <row r="40" spans="1:2" x14ac:dyDescent="0.35">
      <c r="A40" s="70"/>
      <c r="B40" s="74"/>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3C82-8807-43A1-84E3-B02348F1B4D6}">
  <dimension ref="A1:J51"/>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RowHeight="14.5" x14ac:dyDescent="0.35"/>
  <cols>
    <col min="1" max="1" width="34.6328125" style="2" customWidth="1"/>
    <col min="2" max="2" width="28.6328125" customWidth="1"/>
    <col min="3" max="9" width="10.6328125" customWidth="1"/>
    <col min="10" max="10" width="70.6328125" style="36" customWidth="1"/>
  </cols>
  <sheetData>
    <row r="1" spans="1:10" ht="21" x14ac:dyDescent="0.35">
      <c r="A1" s="33" t="s">
        <v>129</v>
      </c>
    </row>
    <row r="2" spans="1:10" x14ac:dyDescent="0.35">
      <c r="A2" s="3" t="s">
        <v>130</v>
      </c>
    </row>
    <row r="4" spans="1:10" x14ac:dyDescent="0.35">
      <c r="A4" s="34" t="s">
        <v>73</v>
      </c>
      <c r="B4" s="11" t="s">
        <v>131</v>
      </c>
      <c r="C4" s="11" t="s">
        <v>3</v>
      </c>
      <c r="D4" s="12">
        <v>2020</v>
      </c>
      <c r="E4" s="12">
        <v>2021</v>
      </c>
      <c r="F4" s="12">
        <v>2022</v>
      </c>
      <c r="G4" s="12">
        <v>2023</v>
      </c>
      <c r="H4" s="12">
        <v>2024</v>
      </c>
      <c r="I4" s="12">
        <v>2025</v>
      </c>
      <c r="J4" s="37" t="s">
        <v>132</v>
      </c>
    </row>
    <row r="5" spans="1:10" x14ac:dyDescent="0.35">
      <c r="A5" s="2" t="str">
        <f>C5&amp;"|"&amp;B5</f>
        <v>Loblaw|Revenue growth (reported)</v>
      </c>
      <c r="B5" t="s">
        <v>133</v>
      </c>
      <c r="C5" s="23" t="s">
        <v>8</v>
      </c>
      <c r="D5" s="22" t="s">
        <v>135</v>
      </c>
      <c r="E5" s="5">
        <f>Model!C6/Model!B6-1</f>
        <v>8.6504533899913749E-3</v>
      </c>
      <c r="F5" s="5">
        <f>Model!D6/Model!C6-1</f>
        <v>6.270453263118303E-2</v>
      </c>
      <c r="G5" s="5">
        <f>Model!E6/Model!D6-1</f>
        <v>5.3536032847232073E-2</v>
      </c>
      <c r="H5" s="5">
        <f>Model!F6/Model!E6-1</f>
        <v>9.9783298896336525E-3</v>
      </c>
      <c r="I5" s="5">
        <f>Model!G6/Model!F6-1</f>
        <v>6.287111421585756E-2</v>
      </c>
      <c r="J5" s="36" t="s">
        <v>134</v>
      </c>
    </row>
    <row r="6" spans="1:10" x14ac:dyDescent="0.35">
      <c r="A6" s="2" t="str">
        <f>C6&amp;"|"&amp;B6</f>
        <v>Metro|Revenue growth (reported)</v>
      </c>
      <c r="B6" t="s">
        <v>133</v>
      </c>
      <c r="C6" s="24" t="s">
        <v>42</v>
      </c>
      <c r="D6" s="22" t="s">
        <v>135</v>
      </c>
      <c r="E6" s="5">
        <f>Model!C32/Model!B32-1</f>
        <v>1.5863314349215063E-2</v>
      </c>
      <c r="F6" s="5">
        <f>Model!D32/Model!C32-1</f>
        <v>3.3140075479954234E-2</v>
      </c>
      <c r="G6" s="5">
        <f>Model!E32/Model!D32-1</f>
        <v>9.7184060479964307E-2</v>
      </c>
      <c r="H6" s="5">
        <f>Model!F32/Model!E32-1</f>
        <v>2.3899134362062702E-2</v>
      </c>
      <c r="I6" s="5">
        <f>Model!G32/Model!F32-1</f>
        <v>3.7078402819994416E-2</v>
      </c>
      <c r="J6" s="36" t="s">
        <v>134</v>
      </c>
    </row>
    <row r="7" spans="1:10" x14ac:dyDescent="0.35">
      <c r="A7" s="35" t="str">
        <f>C7&amp;"|"&amp;B7</f>
        <v>Empire|Revenue growth (reported)</v>
      </c>
      <c r="B7" s="25" t="s">
        <v>133</v>
      </c>
      <c r="C7" s="26" t="s">
        <v>61</v>
      </c>
      <c r="D7" s="27" t="s">
        <v>135</v>
      </c>
      <c r="E7" s="28">
        <f>Model!C58/Model!B58-1</f>
        <v>6.318968565002514E-2</v>
      </c>
      <c r="F7" s="28">
        <f>Model!D58/Model!C58-1</f>
        <v>6.7004383001453949E-2</v>
      </c>
      <c r="G7" s="28">
        <f>Model!E58/Model!D58-1</f>
        <v>1.0466673739490062E-2</v>
      </c>
      <c r="H7" s="28">
        <f>Model!F58/Model!E58-1</f>
        <v>8.3633822318320838E-3</v>
      </c>
      <c r="I7" s="28">
        <f>Model!G58/Model!F58-1</f>
        <v>1.7700842742329082E-2</v>
      </c>
      <c r="J7" s="38" t="s">
        <v>134</v>
      </c>
    </row>
    <row r="9" spans="1:10" x14ac:dyDescent="0.35">
      <c r="A9" s="2" t="str">
        <f>C9&amp;"|"&amp;B9</f>
        <v>Loblaw|Revenue growth (per week)</v>
      </c>
      <c r="B9" t="s">
        <v>136</v>
      </c>
      <c r="C9" s="23" t="s">
        <v>8</v>
      </c>
      <c r="D9" s="22" t="s">
        <v>135</v>
      </c>
      <c r="E9" s="5">
        <f>(Model!C6/Model!C29)/(Model!B6/Model!B29)-1</f>
        <v>2.8047577493645059E-2</v>
      </c>
      <c r="F9" s="5">
        <f>(Model!D6/Model!D29)/(Model!C6/Model!C29)-1</f>
        <v>6.2704532631182808E-2</v>
      </c>
      <c r="G9" s="5">
        <f>(Model!E6/Model!E29)/(Model!D6/Model!D29)-1</f>
        <v>5.3536032847232073E-2</v>
      </c>
      <c r="H9" s="5">
        <f>(Model!F6/Model!F29)/(Model!E6/Model!E29)-1</f>
        <v>9.9783298896338746E-3</v>
      </c>
      <c r="I9" s="5">
        <f>(Model!G6/Model!G29)/(Model!F6/Model!F29)-1</f>
        <v>4.2816942249520373E-2</v>
      </c>
      <c r="J9" s="36" t="s">
        <v>137</v>
      </c>
    </row>
    <row r="10" spans="1:10" x14ac:dyDescent="0.35">
      <c r="A10" s="2" t="str">
        <f>C10&amp;"|"&amp;B10</f>
        <v>Metro|Revenue growth (per week)</v>
      </c>
      <c r="B10" t="s">
        <v>136</v>
      </c>
      <c r="C10" s="24" t="s">
        <v>42</v>
      </c>
      <c r="D10" s="22" t="s">
        <v>135</v>
      </c>
      <c r="E10" s="5">
        <f>(Model!C32/Model!C55)/(Model!B32/Model!B55)-1</f>
        <v>1.5863314349215285E-2</v>
      </c>
      <c r="F10" s="5">
        <f>(Model!D32/Model!D55)/(Model!C32/Model!C55)-1</f>
        <v>3.3140075479954012E-2</v>
      </c>
      <c r="G10" s="5">
        <f>(Model!E32/Model!E55)/(Model!D32/Model!D55)-1</f>
        <v>7.6482474433172465E-2</v>
      </c>
      <c r="H10" s="5">
        <f>(Model!F32/Model!F55)/(Model!E32/Model!E55)-1</f>
        <v>4.3589502330563912E-2</v>
      </c>
      <c r="I10" s="5">
        <f>(Model!G32/Model!G55)/(Model!F32/Model!F55)-1</f>
        <v>3.7078402819994416E-2</v>
      </c>
      <c r="J10" s="36" t="s">
        <v>137</v>
      </c>
    </row>
    <row r="11" spans="1:10" x14ac:dyDescent="0.35">
      <c r="A11" s="35" t="str">
        <f>C11&amp;"|"&amp;B11</f>
        <v>Empire|Revenue growth (per week)</v>
      </c>
      <c r="B11" s="25" t="s">
        <v>136</v>
      </c>
      <c r="C11" s="26" t="s">
        <v>61</v>
      </c>
      <c r="D11" s="27" t="s">
        <v>135</v>
      </c>
      <c r="E11" s="28">
        <f>(Model!C58/Model!C81)/(Model!B58/Model!B81)-1</f>
        <v>6.318968565002514E-2</v>
      </c>
      <c r="F11" s="28">
        <f>(Model!D58/Model!D81)/(Model!C58/Model!C81)-1</f>
        <v>4.687222483161535E-2</v>
      </c>
      <c r="G11" s="28">
        <f>(Model!E58/Model!E81)/(Model!D58/Model!D81)-1</f>
        <v>2.9898725157557315E-2</v>
      </c>
      <c r="H11" s="28">
        <f>(Model!F58/Model!F81)/(Model!E58/Model!E81)-1</f>
        <v>8.3633822318318618E-3</v>
      </c>
      <c r="I11" s="28">
        <f>(Model!G58/Model!G81)/(Model!F58/Model!F81)-1</f>
        <v>1.7700842742329304E-2</v>
      </c>
      <c r="J11" s="38" t="s">
        <v>137</v>
      </c>
    </row>
    <row r="13" spans="1:10" x14ac:dyDescent="0.35">
      <c r="A13" s="2" t="str">
        <f>C13&amp;"|"&amp;B13</f>
        <v>Loblaw|Gross margin</v>
      </c>
      <c r="B13" t="s">
        <v>138</v>
      </c>
      <c r="C13" s="23" t="s">
        <v>8</v>
      </c>
      <c r="D13" s="5">
        <f>Model!B8/Model!B6</f>
        <v>0.30331600713282997</v>
      </c>
      <c r="E13" s="5">
        <f>Model!C8/Model!C6</f>
        <v>0.31472634944517586</v>
      </c>
      <c r="F13" s="5">
        <f>Model!D8/Model!D6</f>
        <v>0.31813676907829536</v>
      </c>
      <c r="G13" s="5">
        <f>Model!E8/Model!E6</f>
        <v>0.31979371398814022</v>
      </c>
      <c r="H13" s="5">
        <f>Model!F8/Model!F6</f>
        <v>0.3132744540358931</v>
      </c>
      <c r="I13" s="5">
        <f>Model!G8/Model!G6</f>
        <v>0.31347511071467693</v>
      </c>
      <c r="J13" s="36" t="s">
        <v>139</v>
      </c>
    </row>
    <row r="14" spans="1:10" x14ac:dyDescent="0.35">
      <c r="A14" s="2" t="str">
        <f>C14&amp;"|"&amp;B14</f>
        <v>Metro|Gross margin</v>
      </c>
      <c r="B14" t="s">
        <v>138</v>
      </c>
      <c r="C14" s="24" t="s">
        <v>42</v>
      </c>
      <c r="D14" s="5">
        <f>Model!B34/Model!B32</f>
        <v>0.1990165300736213</v>
      </c>
      <c r="E14" s="5">
        <f>Model!C34/Model!C32</f>
        <v>0.1999015478860143</v>
      </c>
      <c r="F14" s="5">
        <f>Model!D34/Model!D32</f>
        <v>0.20029223512221467</v>
      </c>
      <c r="G14" s="5">
        <f>Model!E34/Model!E32</f>
        <v>0.1969736448471863</v>
      </c>
      <c r="H14" s="5">
        <f>Model!F34/Model!F32</f>
        <v>0.19695191777529594</v>
      </c>
      <c r="I14" s="5">
        <f>Model!G34/Model!G32</f>
        <v>0.19858952046422221</v>
      </c>
      <c r="J14" s="36" t="s">
        <v>139</v>
      </c>
    </row>
    <row r="15" spans="1:10" x14ac:dyDescent="0.35">
      <c r="A15" s="35" t="str">
        <f>C15&amp;"|"&amp;B15</f>
        <v>Empire|Gross margin</v>
      </c>
      <c r="B15" s="25" t="s">
        <v>138</v>
      </c>
      <c r="C15" s="26" t="s">
        <v>61</v>
      </c>
      <c r="D15" s="28">
        <f>Model!B60/Model!B58</f>
        <v>0.24948285329582293</v>
      </c>
      <c r="E15" s="28">
        <f>Model!C60/Model!C58</f>
        <v>0.25467750094628966</v>
      </c>
      <c r="F15" s="28">
        <f>Model!D60/Model!D58</f>
        <v>0.25394862477786917</v>
      </c>
      <c r="G15" s="28">
        <f>Model!E60/Model!E58</f>
        <v>0.25568194867790306</v>
      </c>
      <c r="H15" s="28">
        <f>Model!F60/Model!F58</f>
        <v>0.26261673120098916</v>
      </c>
      <c r="I15" s="28">
        <f>Model!G60/Model!G58</f>
        <v>0.26799245451929532</v>
      </c>
      <c r="J15" s="38" t="s">
        <v>139</v>
      </c>
    </row>
    <row r="17" spans="1:10" x14ac:dyDescent="0.35">
      <c r="A17" s="2" t="str">
        <f>C17&amp;"|"&amp;B17</f>
        <v>Loblaw|Operating (EBIT) margin</v>
      </c>
      <c r="B17" t="s">
        <v>140</v>
      </c>
      <c r="C17" s="23" t="s">
        <v>8</v>
      </c>
      <c r="D17" s="5">
        <f>Model!B9/Model!B6</f>
        <v>4.4864741814318779E-2</v>
      </c>
      <c r="E17" s="5">
        <f>Model!C9/Model!C6</f>
        <v>5.523791611811172E-2</v>
      </c>
      <c r="F17" s="5">
        <f>Model!D9/Model!D6</f>
        <v>5.9146255132380011E-2</v>
      </c>
      <c r="G17" s="5">
        <f>Model!E9/Model!E6</f>
        <v>6.2221774261284418E-2</v>
      </c>
      <c r="H17" s="5">
        <f>Model!F9/Model!F6</f>
        <v>5.7781547826954743E-2</v>
      </c>
      <c r="I17" s="5">
        <f>Model!G9/Model!G6</f>
        <v>6.9229926607514508E-2</v>
      </c>
      <c r="J17" s="36" t="s">
        <v>141</v>
      </c>
    </row>
    <row r="18" spans="1:10" x14ac:dyDescent="0.35">
      <c r="A18" s="2" t="str">
        <f>C18&amp;"|"&amp;B18</f>
        <v>Metro|Operating (EBIT) margin</v>
      </c>
      <c r="B18" t="s">
        <v>140</v>
      </c>
      <c r="C18" s="24" t="s">
        <v>42</v>
      </c>
      <c r="D18" s="5">
        <f>Model!B35/Model!B32</f>
        <v>6.7848312265592445E-2</v>
      </c>
      <c r="E18" s="5">
        <f>Model!C35/Model!C32</f>
        <v>6.8599245200459444E-2</v>
      </c>
      <c r="F18" s="5">
        <f>Model!D35/Model!D32</f>
        <v>6.7298783941891788E-2</v>
      </c>
      <c r="G18" s="5">
        <f>Model!E35/Model!E32</f>
        <v>6.9694951892919521E-2</v>
      </c>
      <c r="H18" s="5">
        <f>Model!F35/Model!F32</f>
        <v>6.5777878312338889E-2</v>
      </c>
      <c r="I18" s="5">
        <f>Model!G35/Model!G32</f>
        <v>6.652519459982642E-2</v>
      </c>
      <c r="J18" s="36" t="s">
        <v>141</v>
      </c>
    </row>
    <row r="19" spans="1:10" x14ac:dyDescent="0.35">
      <c r="A19" s="35" t="str">
        <f>C19&amp;"|"&amp;B19</f>
        <v>Empire|Operating (EBIT) margin</v>
      </c>
      <c r="B19" s="25" t="s">
        <v>140</v>
      </c>
      <c r="C19" s="26" t="s">
        <v>61</v>
      </c>
      <c r="D19" s="28">
        <f>Model!B61/Model!B58</f>
        <v>4.1815542233020669E-2</v>
      </c>
      <c r="E19" s="28">
        <f>Model!C61/Model!C58</f>
        <v>4.5970221060339676E-2</v>
      </c>
      <c r="F19" s="28">
        <f>Model!D61/Model!D58</f>
        <v>4.5211919475903764E-2</v>
      </c>
      <c r="G19" s="28">
        <f>Model!E61/Model!E58</f>
        <v>4.0435591457472747E-2</v>
      </c>
      <c r="H19" s="28">
        <f>Model!F61/Model!F58</f>
        <v>4.2657729476458531E-2</v>
      </c>
      <c r="I19" s="28">
        <f>Model!G61/Model!G58</f>
        <v>4.1212392492886149E-2</v>
      </c>
      <c r="J19" s="38" t="s">
        <v>141</v>
      </c>
    </row>
    <row r="21" spans="1:10" x14ac:dyDescent="0.35">
      <c r="A21" s="2" t="str">
        <f>C21&amp;"|"&amp;B21</f>
        <v>Loblaw|Net margin</v>
      </c>
      <c r="B21" t="s">
        <v>142</v>
      </c>
      <c r="C21" s="23" t="s">
        <v>8</v>
      </c>
      <c r="D21" s="5">
        <f>Model!B14/Model!B6</f>
        <v>2.2612588686117541E-2</v>
      </c>
      <c r="E21" s="5">
        <f>Model!C14/Model!C6</f>
        <v>3.7163814180929094E-2</v>
      </c>
      <c r="F21" s="5">
        <f>Model!D14/Model!D6</f>
        <v>3.5289537023927509E-2</v>
      </c>
      <c r="G21" s="5">
        <f>Model!E14/Model!E6</f>
        <v>3.6738396411832887E-2</v>
      </c>
      <c r="H21" s="5">
        <f>Model!F14/Model!F6</f>
        <v>3.7839096518803121E-2</v>
      </c>
      <c r="I21" s="5">
        <f>Model!G14/Model!G6</f>
        <v>4.2846188754831545E-2</v>
      </c>
      <c r="J21" s="36" t="s">
        <v>143</v>
      </c>
    </row>
    <row r="22" spans="1:10" x14ac:dyDescent="0.35">
      <c r="A22" s="2" t="str">
        <f>C22&amp;"|"&amp;B22</f>
        <v>Metro|Net margin</v>
      </c>
      <c r="B22" t="s">
        <v>142</v>
      </c>
      <c r="C22" s="24" t="s">
        <v>42</v>
      </c>
      <c r="D22" s="5">
        <f>Model!B40/Model!B32</f>
        <v>4.4250590359772191E-2</v>
      </c>
      <c r="E22" s="5">
        <f>Model!C40/Model!C32</f>
        <v>4.5162172509981953E-2</v>
      </c>
      <c r="F22" s="5">
        <f>Model!D40/Model!D32</f>
        <v>4.4973502956762966E-2</v>
      </c>
      <c r="G22" s="5">
        <f>Model!E40/Model!E32</f>
        <v>4.9158970498827483E-2</v>
      </c>
      <c r="H22" s="5">
        <f>Model!F40/Model!F32</f>
        <v>4.3906898713000533E-2</v>
      </c>
      <c r="I22" s="5">
        <f>Model!G40/Model!G32</f>
        <v>4.6326800474400978E-2</v>
      </c>
      <c r="J22" s="36" t="s">
        <v>143</v>
      </c>
    </row>
    <row r="23" spans="1:10" x14ac:dyDescent="0.35">
      <c r="A23" s="35" t="str">
        <f>C23&amp;"|"&amp;B23</f>
        <v>Empire|Net margin</v>
      </c>
      <c r="B23" s="25" t="s">
        <v>142</v>
      </c>
      <c r="C23" s="26" t="s">
        <v>61</v>
      </c>
      <c r="D23" s="28">
        <f>Model!B66/Model!B58</f>
        <v>2.3047818205068411E-2</v>
      </c>
      <c r="E23" s="28">
        <f>Model!C66/Model!C58</f>
        <v>2.7033815263033154E-2</v>
      </c>
      <c r="F23" s="28">
        <f>Model!D66/Model!D58</f>
        <v>2.6897726971328539E-2</v>
      </c>
      <c r="G23" s="28">
        <f>Model!E66/Model!E58</f>
        <v>2.3876160259333753E-2</v>
      </c>
      <c r="H23" s="28">
        <f>Model!F66/Model!F58</f>
        <v>2.4826733478671134E-2</v>
      </c>
      <c r="I23" s="28">
        <f>Model!G66/Model!G58</f>
        <v>2.3851392396969019E-2</v>
      </c>
      <c r="J23" s="38" t="s">
        <v>143</v>
      </c>
    </row>
    <row r="25" spans="1:10" x14ac:dyDescent="0.35">
      <c r="A25" s="2" t="str">
        <f>C25&amp;"|"&amp;B25</f>
        <v>Loblaw|Effective tax rate</v>
      </c>
      <c r="B25" t="s">
        <v>144</v>
      </c>
      <c r="C25" s="23" t="s">
        <v>8</v>
      </c>
      <c r="D25" s="5">
        <f>Model!B12/Model!B11</f>
        <v>0.26555760936537276</v>
      </c>
      <c r="E25" s="5">
        <f>Model!C12/Model!C11</f>
        <v>0.19082719082719082</v>
      </c>
      <c r="F25" s="5">
        <f>Model!D12/Model!D11</f>
        <v>0.25009402030838662</v>
      </c>
      <c r="G25" s="5">
        <f>Model!E12/Model!E11</f>
        <v>0.24612202688728024</v>
      </c>
      <c r="H25" s="5">
        <f>Model!F12/Model!F11</f>
        <v>0.26191329272662128</v>
      </c>
      <c r="I25" s="5">
        <f>Model!G12/Model!G11</f>
        <v>0.29331884845192829</v>
      </c>
      <c r="J25" s="36" t="s">
        <v>145</v>
      </c>
    </row>
    <row r="26" spans="1:10" x14ac:dyDescent="0.35">
      <c r="A26" s="2" t="str">
        <f>C26&amp;"|"&amp;B26</f>
        <v>Metro|Effective tax rate</v>
      </c>
      <c r="B26" t="s">
        <v>144</v>
      </c>
      <c r="C26" s="24" t="s">
        <v>42</v>
      </c>
      <c r="D26" s="5">
        <f>Model!B38/Model!B37</f>
        <v>0.26551692336069355</v>
      </c>
      <c r="E26" s="5">
        <f>Model!C38/Model!C37</f>
        <v>0.26322833943071294</v>
      </c>
      <c r="F26" s="5">
        <f>Model!D38/Model!D37</f>
        <v>0.2636095700416089</v>
      </c>
      <c r="G26" s="5">
        <f>Model!E38/Model!E37</f>
        <v>0.2292328642759873</v>
      </c>
      <c r="H26" s="5">
        <f>Model!F38/Model!F37</f>
        <v>0.25469962403007762</v>
      </c>
      <c r="I26" s="5">
        <f>Model!G38/Model!G37</f>
        <v>0.22776851992122404</v>
      </c>
      <c r="J26" s="36" t="s">
        <v>145</v>
      </c>
    </row>
    <row r="27" spans="1:10" x14ac:dyDescent="0.35">
      <c r="A27" s="35" t="str">
        <f>C27&amp;"|"&amp;B27</f>
        <v>Empire|Effective tax rate</v>
      </c>
      <c r="B27" s="25" t="s">
        <v>144</v>
      </c>
      <c r="C27" s="26" t="s">
        <v>61</v>
      </c>
      <c r="D27" s="28">
        <f>Model!B64/Model!B63</f>
        <v>0.26408070133301309</v>
      </c>
      <c r="E27" s="28">
        <f>Model!C64/Model!C63</f>
        <v>0.25813027861372684</v>
      </c>
      <c r="F27" s="28">
        <f>Model!D64/Model!D63</f>
        <v>0.24990754437869825</v>
      </c>
      <c r="G27" s="28">
        <f>Model!E64/Model!E63</f>
        <v>0.24621918375802776</v>
      </c>
      <c r="H27" s="28">
        <f>Model!F64/Model!F63</f>
        <v>0.25850340136054423</v>
      </c>
      <c r="I27" s="28">
        <f>Model!G64/Model!G63</f>
        <v>0.25025125628140704</v>
      </c>
      <c r="J27" s="38" t="s">
        <v>145</v>
      </c>
    </row>
    <row r="29" spans="1:10" x14ac:dyDescent="0.35">
      <c r="A29" s="2" t="str">
        <f>C29&amp;"|"&amp;B29</f>
        <v>Loblaw|Return on equity (ROE)</v>
      </c>
      <c r="B29" t="s">
        <v>146</v>
      </c>
      <c r="C29" s="23" t="s">
        <v>8</v>
      </c>
      <c r="D29" s="5">
        <f>Model!B15/Model!B22</f>
        <v>0.10083727702948671</v>
      </c>
      <c r="E29" s="5">
        <f>Model!C15/Model!C22</f>
        <v>0.16201503499524755</v>
      </c>
      <c r="F29" s="5">
        <f>Model!D15/Model!D22</f>
        <v>0.17001504557925481</v>
      </c>
      <c r="G29" s="5">
        <f>Model!E15/Model!E22</f>
        <v>0.18318213538032099</v>
      </c>
      <c r="H29" s="5">
        <f>Model!F15/Model!F22</f>
        <v>0.19574429717789199</v>
      </c>
      <c r="I29" s="5">
        <f>Model!G15/Model!G22</f>
        <v>0.24183895538628944</v>
      </c>
      <c r="J29" s="36" t="s">
        <v>147</v>
      </c>
    </row>
    <row r="30" spans="1:10" x14ac:dyDescent="0.35">
      <c r="A30" s="2" t="str">
        <f>C30&amp;"|"&amp;B30</f>
        <v>Metro|Return on equity (ROE)</v>
      </c>
      <c r="B30" t="s">
        <v>146</v>
      </c>
      <c r="C30" s="24" t="s">
        <v>42</v>
      </c>
      <c r="D30" s="5">
        <f>Model!B41/Model!B48</f>
        <v>0.1294650125362248</v>
      </c>
      <c r="E30" s="5">
        <f>Model!C41/Model!C48</f>
        <v>0.1285957593087392</v>
      </c>
      <c r="F30" s="5">
        <f>Model!D41/Model!D48</f>
        <v>0.12810962222726929</v>
      </c>
      <c r="G30" s="5">
        <f>Model!E41/Model!E48</f>
        <v>0.14920896312415455</v>
      </c>
      <c r="H30" s="5">
        <f>Model!F41/Model!F48</f>
        <v>0.13227565974051866</v>
      </c>
      <c r="I30" s="5">
        <f>Model!G41/Model!G48</f>
        <v>0.14473365875873453</v>
      </c>
      <c r="J30" s="36" t="s">
        <v>147</v>
      </c>
    </row>
    <row r="31" spans="1:10" x14ac:dyDescent="0.35">
      <c r="A31" s="35" t="str">
        <f>C31&amp;"|"&amp;B31</f>
        <v>Empire|Return on equity (ROE)</v>
      </c>
      <c r="B31" s="25" t="s">
        <v>146</v>
      </c>
      <c r="C31" s="26" t="s">
        <v>61</v>
      </c>
      <c r="D31" s="28">
        <f>Model!B67/Model!B74</f>
        <v>0.14867757223666106</v>
      </c>
      <c r="E31" s="28">
        <f>Model!C67/Model!C74</f>
        <v>0.16042719601161753</v>
      </c>
      <c r="F31" s="28">
        <f>Model!D67/Model!D74</f>
        <v>0.14941400380647099</v>
      </c>
      <c r="G31" s="28">
        <f>Model!E67/Model!E74</f>
        <v>0.13191292977463273</v>
      </c>
      <c r="H31" s="28">
        <f>Model!F67/Model!F74</f>
        <v>0.13592960119827749</v>
      </c>
      <c r="I31" s="28">
        <f>Model!G67/Model!G74</f>
        <v>0.12939001848428835</v>
      </c>
      <c r="J31" s="38" t="s">
        <v>147</v>
      </c>
    </row>
    <row r="33" spans="1:10" x14ac:dyDescent="0.35">
      <c r="A33" s="2" t="str">
        <f>C33&amp;"|"&amp;B33</f>
        <v>Loblaw|Return on assets (ROA)</v>
      </c>
      <c r="B33" t="s">
        <v>148</v>
      </c>
      <c r="C33" s="23" t="s">
        <v>8</v>
      </c>
      <c r="D33" s="5">
        <f>Model!B14/Model!B18</f>
        <v>3.3228333286873135E-2</v>
      </c>
      <c r="E33" s="5">
        <f>Model!C14/Model!C18</f>
        <v>5.3968427377505873E-2</v>
      </c>
      <c r="F33" s="5">
        <f>Model!D14/Model!D18</f>
        <v>5.2271476131805911E-2</v>
      </c>
      <c r="G33" s="5">
        <f>Model!E14/Model!E18</f>
        <v>5.6107134610944354E-2</v>
      </c>
      <c r="H33" s="5">
        <f>Model!F14/Model!F18</f>
        <v>5.565068493150685E-2</v>
      </c>
      <c r="I33" s="5">
        <f>Model!G14/Model!G18</f>
        <v>6.5853717199413131E-2</v>
      </c>
      <c r="J33" s="36" t="s">
        <v>149</v>
      </c>
    </row>
    <row r="34" spans="1:10" x14ac:dyDescent="0.35">
      <c r="A34" s="2" t="str">
        <f>C34&amp;"|"&amp;B34</f>
        <v>Metro|Return on assets (ROA)</v>
      </c>
      <c r="B34" t="s">
        <v>148</v>
      </c>
      <c r="C34" s="24" t="s">
        <v>42</v>
      </c>
      <c r="D34" s="5">
        <f>Model!B40/Model!B44</f>
        <v>5.932702120844166E-2</v>
      </c>
      <c r="E34" s="5">
        <f>Model!C40/Model!C44</f>
        <v>6.0748523039118311E-2</v>
      </c>
      <c r="F34" s="5">
        <f>Model!D40/Model!D44</f>
        <v>6.3389372672800398E-2</v>
      </c>
      <c r="G34" s="5">
        <f>Model!E40/Model!E44</f>
        <v>7.3478395707269231E-2</v>
      </c>
      <c r="H34" s="5">
        <f>Model!F40/Model!F44</f>
        <v>6.5888293283170446E-2</v>
      </c>
      <c r="I34" s="5">
        <f>Model!G40/Model!G44</f>
        <v>7.0119812371899806E-2</v>
      </c>
      <c r="J34" s="36" t="s">
        <v>149</v>
      </c>
    </row>
    <row r="35" spans="1:10" x14ac:dyDescent="0.35">
      <c r="A35" s="35" t="str">
        <f>C35&amp;"|"&amp;B35</f>
        <v>Empire|Return on assets (ROA)</v>
      </c>
      <c r="B35" s="25" t="s">
        <v>148</v>
      </c>
      <c r="C35" s="26" t="s">
        <v>61</v>
      </c>
      <c r="D35" s="28">
        <f>Model!B66/Model!B70</f>
        <v>4.187823329620239E-2</v>
      </c>
      <c r="E35" s="28">
        <f>Model!C66/Model!C70</f>
        <v>5.0362794008132386E-2</v>
      </c>
      <c r="F35" s="28">
        <f>Model!D66/Model!D70</f>
        <v>4.8892344036254941E-2</v>
      </c>
      <c r="G35" s="28">
        <f>Model!E66/Model!E70</f>
        <v>4.414664183405425E-2</v>
      </c>
      <c r="H35" s="28">
        <f>Model!F66/Model!F70</f>
        <v>4.5443716497915426E-2</v>
      </c>
      <c r="I35" s="28">
        <f>Model!G66/Model!G70</f>
        <v>4.3833362712262763E-2</v>
      </c>
      <c r="J35" s="38" t="s">
        <v>149</v>
      </c>
    </row>
    <row r="37" spans="1:10" x14ac:dyDescent="0.35">
      <c r="A37" s="2" t="str">
        <f>C37&amp;"|"&amp;B37</f>
        <v>Loblaw|Current ratio</v>
      </c>
      <c r="B37" t="s">
        <v>150</v>
      </c>
      <c r="C37" s="23" t="s">
        <v>8</v>
      </c>
      <c r="D37" s="29">
        <f>Model!B17/Model!B19</f>
        <v>1.3171288371562251</v>
      </c>
      <c r="E37" s="29">
        <f>Model!C17/Model!C19</f>
        <v>1.3741844280121791</v>
      </c>
      <c r="F37" s="29">
        <f>Model!D17/Model!D19</f>
        <v>1.3246187363834423</v>
      </c>
      <c r="G37" s="29">
        <f>Model!E17/Model!E19</f>
        <v>1.2517746842444915</v>
      </c>
      <c r="H37" s="29">
        <f>Model!F17/Model!F19</f>
        <v>1.2362338545207341</v>
      </c>
      <c r="I37" s="29">
        <f>Model!G17/Model!G19</f>
        <v>1.0762797404470079</v>
      </c>
      <c r="J37" s="36" t="s">
        <v>151</v>
      </c>
    </row>
    <row r="38" spans="1:10" x14ac:dyDescent="0.35">
      <c r="A38" s="2" t="str">
        <f>C38&amp;"|"&amp;B38</f>
        <v>Metro|Current ratio</v>
      </c>
      <c r="B38" t="s">
        <v>150</v>
      </c>
      <c r="C38" s="24" t="s">
        <v>42</v>
      </c>
      <c r="D38" s="29">
        <f>Model!B43/Model!B45</f>
        <v>1.3442825654534702</v>
      </c>
      <c r="E38" s="29">
        <f>Model!C43/Model!C45</f>
        <v>1.1221908834500958</v>
      </c>
      <c r="F38" s="29">
        <f>Model!D43/Model!D45</f>
        <v>1.1182074263764405</v>
      </c>
      <c r="G38" s="29">
        <f>Model!E43/Model!E45</f>
        <v>1.2258261933904528</v>
      </c>
      <c r="H38" s="29">
        <f>Model!F43/Model!F45</f>
        <v>1.0824291214560728</v>
      </c>
      <c r="I38" s="29">
        <f>Model!G43/Model!G45</f>
        <v>1.2956470931931054</v>
      </c>
      <c r="J38" s="36" t="s">
        <v>151</v>
      </c>
    </row>
    <row r="39" spans="1:10" x14ac:dyDescent="0.35">
      <c r="A39" s="35" t="str">
        <f>C39&amp;"|"&amp;B39</f>
        <v>Empire|Current ratio</v>
      </c>
      <c r="B39" s="25" t="s">
        <v>150</v>
      </c>
      <c r="C39" s="26" t="s">
        <v>61</v>
      </c>
      <c r="D39" s="30">
        <f>Model!B69/Model!B71</f>
        <v>0.80184729064039406</v>
      </c>
      <c r="E39" s="30">
        <f>Model!C69/Model!C71</f>
        <v>0.91551516541482714</v>
      </c>
      <c r="F39" s="30">
        <f>Model!D69/Model!D71</f>
        <v>0.75776587966129683</v>
      </c>
      <c r="G39" s="30">
        <f>Model!E69/Model!E71</f>
        <v>0.76604018146467923</v>
      </c>
      <c r="H39" s="30">
        <f>Model!F69/Model!F71</f>
        <v>0.7977383705988178</v>
      </c>
      <c r="I39" s="30">
        <f>Model!G69/Model!G71</f>
        <v>0.76513671875</v>
      </c>
      <c r="J39" s="38" t="s">
        <v>151</v>
      </c>
    </row>
    <row r="41" spans="1:10" x14ac:dyDescent="0.35">
      <c r="A41" s="2" t="str">
        <f>C41&amp;"|"&amp;B41</f>
        <v>Loblaw|Liabilities-to-equity</v>
      </c>
      <c r="B41" t="s">
        <v>152</v>
      </c>
      <c r="C41" s="23" t="s">
        <v>8</v>
      </c>
      <c r="D41" s="29">
        <f>Model!B20/Model!B21</f>
        <v>2.226279341667416</v>
      </c>
      <c r="E41" s="29">
        <f>Model!C20/Model!C21</f>
        <v>2.1195365084774642</v>
      </c>
      <c r="F41" s="29">
        <f>Model!D20/Model!D21</f>
        <v>2.329870810055866</v>
      </c>
      <c r="G41" s="29">
        <f>Model!E20/Model!E21</f>
        <v>2.3547637490317581</v>
      </c>
      <c r="H41" s="29">
        <f>Model!F20/Model!F21</f>
        <v>2.6286170779336056</v>
      </c>
      <c r="I41" s="29">
        <f>Model!G20/Model!G21</f>
        <v>2.7148856325947106</v>
      </c>
      <c r="J41" s="36" t="s">
        <v>153</v>
      </c>
    </row>
    <row r="42" spans="1:10" x14ac:dyDescent="0.35">
      <c r="A42" s="2" t="str">
        <f>C42&amp;"|"&amp;B42</f>
        <v>Metro|Liabilities-to-equity</v>
      </c>
      <c r="B42" t="s">
        <v>152</v>
      </c>
      <c r="C42" s="24" t="s">
        <v>42</v>
      </c>
      <c r="D42" s="29">
        <f>Model!B46/Model!B47</f>
        <v>1.1808330896448647</v>
      </c>
      <c r="E42" s="29">
        <f>Model!C46/Model!C47</f>
        <v>1.1195265718562875</v>
      </c>
      <c r="F42" s="29">
        <f>Model!D46/Model!D47</f>
        <v>1.0248549498368185</v>
      </c>
      <c r="G42" s="29">
        <f>Model!E46/Model!E47</f>
        <v>1.0341387556298871</v>
      </c>
      <c r="H42" s="29">
        <f>Model!F46/Model!F47</f>
        <v>1.0089218485842959</v>
      </c>
      <c r="I42" s="29">
        <f>Model!G46/Model!G47</f>
        <v>1.0637606279541809</v>
      </c>
      <c r="J42" s="36" t="s">
        <v>153</v>
      </c>
    </row>
    <row r="43" spans="1:10" x14ac:dyDescent="0.35">
      <c r="A43" s="35" t="str">
        <f>C43&amp;"|"&amp;B43</f>
        <v>Empire|Liabilities-to-equity</v>
      </c>
      <c r="B43" s="25" t="s">
        <v>152</v>
      </c>
      <c r="C43" s="26" t="s">
        <v>61</v>
      </c>
      <c r="D43" s="30">
        <f>Model!B72/Model!B73</f>
        <v>2.6455566905005106</v>
      </c>
      <c r="E43" s="30">
        <f>Model!C72/Model!C73</f>
        <v>2.3734771009337483</v>
      </c>
      <c r="F43" s="30">
        <f>Model!D72/Model!D73</f>
        <v>2.2321626833401509</v>
      </c>
      <c r="G43" s="30">
        <f>Model!E72/Model!E73</f>
        <v>2.0887439803623962</v>
      </c>
      <c r="H43" s="30">
        <f>Model!F72/Model!F73</f>
        <v>2.0700310842932894</v>
      </c>
      <c r="I43" s="30">
        <f>Model!G72/Model!G73</f>
        <v>2.0698051948051948</v>
      </c>
      <c r="J43" s="38" t="s">
        <v>153</v>
      </c>
    </row>
    <row r="45" spans="1:10" x14ac:dyDescent="0.35">
      <c r="A45" s="2" t="str">
        <f>C45&amp;"|"&amp;B45</f>
        <v>Loblaw|Days inventory</v>
      </c>
      <c r="B45" t="s">
        <v>154</v>
      </c>
      <c r="C45" s="23" t="s">
        <v>8</v>
      </c>
      <c r="D45" s="31">
        <f>Model!B16/Model!B7*Model!B29*7</f>
        <v>52.480462899931922</v>
      </c>
      <c r="E45" s="31">
        <f>Model!C16/Model!C7*Model!C29*7</f>
        <v>51.608958173235258</v>
      </c>
      <c r="F45" s="31">
        <f>Model!D16/Model!D7*Model!D29*7</f>
        <v>55.316133720930232</v>
      </c>
      <c r="G45" s="31">
        <f>Model!E16/Model!E7*Model!E29*7</f>
        <v>52.318482663242129</v>
      </c>
      <c r="H45" s="31">
        <f>Model!F16/Model!F7*Model!F29*7</f>
        <v>55.806045340050375</v>
      </c>
      <c r="I45" s="31">
        <f>Model!G16/Model!G7*Model!G29*7</f>
        <v>54.891864785393544</v>
      </c>
      <c r="J45" s="36" t="s">
        <v>155</v>
      </c>
    </row>
    <row r="46" spans="1:10" x14ac:dyDescent="0.35">
      <c r="A46" s="2" t="str">
        <f>C46&amp;"|"&amp;B46</f>
        <v>Metro|Days inventory</v>
      </c>
      <c r="B46" t="s">
        <v>154</v>
      </c>
      <c r="C46" s="24" t="s">
        <v>42</v>
      </c>
      <c r="D46" s="31">
        <f>Model!B42/Model!B33*Model!B55*7</f>
        <v>32.022364505365672</v>
      </c>
      <c r="E46" s="31">
        <f>Model!C42/Model!C33*Model!C55*7</f>
        <v>29.088746393951407</v>
      </c>
      <c r="F46" s="31">
        <f>Model!D42/Model!D33*Model!D55*7</f>
        <v>32.075548141086749</v>
      </c>
      <c r="G46" s="31">
        <f>Model!E42/Model!E33*Model!E55*7</f>
        <v>32.346356294765172</v>
      </c>
      <c r="H46" s="31">
        <f>Model!F42/Model!F33*Model!F55*7</f>
        <v>32.218419539218104</v>
      </c>
      <c r="I46" s="31">
        <f>Model!G42/Model!G33*Model!G55*7</f>
        <v>33.111360595132787</v>
      </c>
      <c r="J46" s="36" t="s">
        <v>155</v>
      </c>
    </row>
    <row r="47" spans="1:10" x14ac:dyDescent="0.35">
      <c r="A47" s="35" t="str">
        <f>C47&amp;"|"&amp;B47</f>
        <v>Empire|Days inventory</v>
      </c>
      <c r="B47" s="25" t="s">
        <v>154</v>
      </c>
      <c r="C47" s="26" t="s">
        <v>61</v>
      </c>
      <c r="D47" s="32">
        <f>Model!B68/Model!B59*Model!B81*7</f>
        <v>27.168344617111586</v>
      </c>
      <c r="E47" s="32">
        <f>Model!C68/Model!C59*Model!C81*7</f>
        <v>25.916578859936397</v>
      </c>
      <c r="F47" s="32">
        <f>Model!D68/Model!D59*Model!D81*7</f>
        <v>26.238917996507084</v>
      </c>
      <c r="G47" s="32">
        <f>Model!E68/Model!E59*Model!E81*7</f>
        <v>27.972228834404504</v>
      </c>
      <c r="H47" s="32">
        <f>Model!F68/Model!F59*Model!F81*7</f>
        <v>28.462095137234137</v>
      </c>
      <c r="I47" s="32">
        <f>Model!G68/Model!G59*Model!G81*7</f>
        <v>29.142258134963967</v>
      </c>
      <c r="J47" s="38" t="s">
        <v>155</v>
      </c>
    </row>
    <row r="49" spans="1:10" x14ac:dyDescent="0.35">
      <c r="A49" s="2" t="str">
        <f>C49&amp;"|"&amp;B49</f>
        <v>Loblaw|FCF margin (after leases)</v>
      </c>
      <c r="B49" t="s">
        <v>156</v>
      </c>
      <c r="C49" s="23" t="s">
        <v>8</v>
      </c>
      <c r="D49" s="5">
        <f>Model!B28/Model!B6</f>
        <v>5.7081610198429257E-2</v>
      </c>
      <c r="E49" s="5">
        <f>Model!C28/Model!C6</f>
        <v>4.9369945457965018E-2</v>
      </c>
      <c r="F49" s="5">
        <f>Model!D28/Model!D6</f>
        <v>3.8758317995186184E-2</v>
      </c>
      <c r="G49" s="5">
        <f>Model!E28/Model!E6</f>
        <v>4.2181121806178501E-2</v>
      </c>
      <c r="H49" s="5">
        <f>Model!F28/Model!F6</f>
        <v>4.1847545864311497E-2</v>
      </c>
      <c r="I49" s="5">
        <f>Model!G28/Model!G6</f>
        <v>4.6116770730638627E-2</v>
      </c>
      <c r="J49" s="36" t="s">
        <v>157</v>
      </c>
    </row>
    <row r="50" spans="1:10" x14ac:dyDescent="0.35">
      <c r="A50" s="2" t="str">
        <f>C50&amp;"|"&amp;B50</f>
        <v>Metro|FCF margin (after leases)</v>
      </c>
      <c r="B50" t="s">
        <v>156</v>
      </c>
      <c r="C50" s="24" t="s">
        <v>42</v>
      </c>
      <c r="D50" s="5">
        <f>Model!B54/Model!B32</f>
        <v>3.9477705236838447E-2</v>
      </c>
      <c r="E50" s="5">
        <f>Model!C54/Model!C32</f>
        <v>3.9550402012798774E-2</v>
      </c>
      <c r="F50" s="5">
        <f>Model!D54/Model!D32</f>
        <v>3.0303511586169656E-2</v>
      </c>
      <c r="G50" s="5">
        <f>Model!E54/Model!E32</f>
        <v>2.9650753211159682E-2</v>
      </c>
      <c r="H50" s="5">
        <f>Model!F54/Model!F32</f>
        <v>3.9090664894745025E-2</v>
      </c>
      <c r="I50" s="5">
        <f>Model!G54/Model!G32</f>
        <v>4.2378003062703638E-2</v>
      </c>
      <c r="J50" s="36" t="s">
        <v>157</v>
      </c>
    </row>
    <row r="51" spans="1:10" x14ac:dyDescent="0.35">
      <c r="A51" s="35" t="str">
        <f>C51&amp;"|"&amp;B51</f>
        <v>Empire|FCF margin (after leases)</v>
      </c>
      <c r="B51" s="25" t="s">
        <v>156</v>
      </c>
      <c r="C51" s="26" t="s">
        <v>61</v>
      </c>
      <c r="D51" s="28">
        <f>Model!B80/Model!B58</f>
        <v>4.0600717611572051E-2</v>
      </c>
      <c r="E51" s="28">
        <f>Model!C80/Model!C58</f>
        <v>2.7606895356282479E-2</v>
      </c>
      <c r="F51" s="28">
        <f>Model!D80/Model!D58</f>
        <v>2.7981858207569689E-2</v>
      </c>
      <c r="G51" s="28">
        <f>Model!E80/Model!E58</f>
        <v>1.115555103500546E-2</v>
      </c>
      <c r="H51" s="28">
        <f>Model!F80/Model!F58</f>
        <v>2.4306120456837926E-2</v>
      </c>
      <c r="I51" s="28">
        <f>Model!G80/Model!G58</f>
        <v>2.5641845445535057E-2</v>
      </c>
      <c r="J51" s="38" t="s">
        <v>157</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80E9-B169-4F7D-B7F1-FF7819EE5228}">
  <dimension ref="A1:G81"/>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4.5" x14ac:dyDescent="0.35"/>
  <cols>
    <col min="1" max="1" width="44.6328125" customWidth="1"/>
    <col min="2" max="7" width="12.6328125" customWidth="1"/>
  </cols>
  <sheetData>
    <row r="1" spans="1:7" ht="21" x14ac:dyDescent="0.35">
      <c r="A1" s="1" t="s">
        <v>121</v>
      </c>
    </row>
    <row r="2" spans="1:7" x14ac:dyDescent="0.35">
      <c r="A2" s="3" t="s">
        <v>122</v>
      </c>
    </row>
    <row r="4" spans="1:7" x14ac:dyDescent="0.35">
      <c r="A4" s="11" t="s">
        <v>123</v>
      </c>
      <c r="B4" s="12">
        <v>2020</v>
      </c>
      <c r="C4" s="12">
        <v>2021</v>
      </c>
      <c r="D4" s="12">
        <v>2022</v>
      </c>
      <c r="E4" s="12">
        <v>2023</v>
      </c>
      <c r="F4" s="12">
        <v>2024</v>
      </c>
      <c r="G4" s="12">
        <v>2025</v>
      </c>
    </row>
    <row r="5" spans="1:7" x14ac:dyDescent="0.35">
      <c r="A5" s="14" t="s">
        <v>8</v>
      </c>
      <c r="B5" s="13"/>
      <c r="C5" s="13"/>
      <c r="D5" s="13"/>
      <c r="E5" s="13"/>
      <c r="F5" s="13"/>
      <c r="G5" s="13"/>
    </row>
    <row r="6" spans="1:7" x14ac:dyDescent="0.35">
      <c r="A6" t="s">
        <v>9</v>
      </c>
      <c r="B6" s="15">
        <f>SUMIFS(tblData[Amount],tblData[Company],$A$5,tblData[Fiscal year],B$4,tblData[Standard line item],$A6)</f>
        <v>52714</v>
      </c>
      <c r="C6" s="15">
        <f>SUMIFS(tblData[Amount],tblData[Company],$A$5,tblData[Fiscal year],C$4,tblData[Standard line item],$A6)</f>
        <v>53170</v>
      </c>
      <c r="D6" s="15">
        <f>SUMIFS(tblData[Amount],tblData[Company],$A$5,tblData[Fiscal year],D$4,tblData[Standard line item],$A6)</f>
        <v>56504</v>
      </c>
      <c r="E6" s="15">
        <f>SUMIFS(tblData[Amount],tblData[Company],$A$5,tblData[Fiscal year],E$4,tblData[Standard line item],$A6)</f>
        <v>59529</v>
      </c>
      <c r="F6" s="15">
        <f>SUMIFS(tblData[Amount],tblData[Company],$A$5,tblData[Fiscal year],F$4,tblData[Standard line item],$A6)</f>
        <v>60123</v>
      </c>
      <c r="G6" s="15">
        <f>SUMIFS(tblData[Amount],tblData[Company],$A$5,tblData[Fiscal year],G$4,tblData[Standard line item],$A6)</f>
        <v>63903</v>
      </c>
    </row>
    <row r="7" spans="1:7" x14ac:dyDescent="0.35">
      <c r="A7" t="s">
        <v>12</v>
      </c>
      <c r="B7" s="15">
        <f>SUMIFS(tblData[Amount],tblData[Company],$A$5,tblData[Fiscal year],B$4,tblData[Standard line item],$A7)</f>
        <v>36725</v>
      </c>
      <c r="C7" s="15">
        <f>SUMIFS(tblData[Amount],tblData[Company],$A$5,tblData[Fiscal year],C$4,tblData[Standard line item],$A7)</f>
        <v>36436</v>
      </c>
      <c r="D7" s="15">
        <f>SUMIFS(tblData[Amount],tblData[Company],$A$5,tblData[Fiscal year],D$4,tblData[Standard line item],$A7)</f>
        <v>38528</v>
      </c>
      <c r="E7" s="15">
        <f>SUMIFS(tblData[Amount],tblData[Company],$A$5,tblData[Fiscal year],E$4,tblData[Standard line item],$A7)</f>
        <v>40492</v>
      </c>
      <c r="F7" s="15">
        <f>SUMIFS(tblData[Amount],tblData[Company],$A$5,tblData[Fiscal year],F$4,tblData[Standard line item],$A7)</f>
        <v>41288</v>
      </c>
      <c r="G7" s="15">
        <f>SUMIFS(tblData[Amount],tblData[Company],$A$5,tblData[Fiscal year],G$4,tblData[Standard line item],$A7)</f>
        <v>43871</v>
      </c>
    </row>
    <row r="8" spans="1:7" x14ac:dyDescent="0.35">
      <c r="A8" s="16" t="s">
        <v>124</v>
      </c>
      <c r="B8" s="17">
        <f t="shared" ref="B8:G8" si="0">B6-B7</f>
        <v>15989</v>
      </c>
      <c r="C8" s="17">
        <f t="shared" si="0"/>
        <v>16734</v>
      </c>
      <c r="D8" s="17">
        <f t="shared" si="0"/>
        <v>17976</v>
      </c>
      <c r="E8" s="17">
        <f t="shared" si="0"/>
        <v>19037</v>
      </c>
      <c r="F8" s="17">
        <f t="shared" si="0"/>
        <v>18835</v>
      </c>
      <c r="G8" s="17">
        <f t="shared" si="0"/>
        <v>20032</v>
      </c>
    </row>
    <row r="9" spans="1:7" x14ac:dyDescent="0.35">
      <c r="A9" s="16" t="s">
        <v>125</v>
      </c>
      <c r="B9" s="17">
        <f t="shared" ref="B9:G9" si="1">B11+B10</f>
        <v>2365</v>
      </c>
      <c r="C9" s="17">
        <f t="shared" si="1"/>
        <v>2937</v>
      </c>
      <c r="D9" s="17">
        <f t="shared" si="1"/>
        <v>3342</v>
      </c>
      <c r="E9" s="17">
        <f t="shared" si="1"/>
        <v>3704</v>
      </c>
      <c r="F9" s="17">
        <f t="shared" si="1"/>
        <v>3474</v>
      </c>
      <c r="G9" s="17">
        <f t="shared" si="1"/>
        <v>4424</v>
      </c>
    </row>
    <row r="10" spans="1:7" x14ac:dyDescent="0.35">
      <c r="A10" t="s">
        <v>14</v>
      </c>
      <c r="B10" s="15">
        <f>SUMIFS(tblData[Amount],tblData[Company],$A$5,tblData[Fiscal year],B$4,tblData[Standard line item],$A10)</f>
        <v>742</v>
      </c>
      <c r="C10" s="15">
        <f>SUMIFS(tblData[Amount],tblData[Company],$A$5,tblData[Fiscal year],C$4,tblData[Standard line item],$A10)</f>
        <v>495</v>
      </c>
      <c r="D10" s="15">
        <f>SUMIFS(tblData[Amount],tblData[Company],$A$5,tblData[Fiscal year],D$4,tblData[Standard line item],$A10)</f>
        <v>683</v>
      </c>
      <c r="E10" s="15">
        <f>SUMIFS(tblData[Amount],tblData[Company],$A$5,tblData[Fiscal year],E$4,tblData[Standard line item],$A10)</f>
        <v>803</v>
      </c>
      <c r="F10" s="15">
        <f>SUMIFS(tblData[Amount],tblData[Company],$A$5,tblData[Fiscal year],F$4,tblData[Standard line item],$A10)</f>
        <v>683</v>
      </c>
      <c r="G10" s="15">
        <f>SUMIFS(tblData[Amount],tblData[Company],$A$5,tblData[Fiscal year],G$4,tblData[Standard line item],$A10)</f>
        <v>742</v>
      </c>
    </row>
    <row r="11" spans="1:7" x14ac:dyDescent="0.35">
      <c r="A11" t="s">
        <v>15</v>
      </c>
      <c r="B11" s="15">
        <f>SUMIFS(tblData[Amount],tblData[Company],$A$5,tblData[Fiscal year],B$4,tblData[Standard line item],$A11)</f>
        <v>1623</v>
      </c>
      <c r="C11" s="15">
        <f>SUMIFS(tblData[Amount],tblData[Company],$A$5,tblData[Fiscal year],C$4,tblData[Standard line item],$A11)</f>
        <v>2442</v>
      </c>
      <c r="D11" s="15">
        <f>SUMIFS(tblData[Amount],tblData[Company],$A$5,tblData[Fiscal year],D$4,tblData[Standard line item],$A11)</f>
        <v>2659</v>
      </c>
      <c r="E11" s="15">
        <f>SUMIFS(tblData[Amount],tblData[Company],$A$5,tblData[Fiscal year],E$4,tblData[Standard line item],$A11)</f>
        <v>2901</v>
      </c>
      <c r="F11" s="15">
        <f>SUMIFS(tblData[Amount],tblData[Company],$A$5,tblData[Fiscal year],F$4,tblData[Standard line item],$A11)</f>
        <v>2791</v>
      </c>
      <c r="G11" s="15">
        <f>SUMIFS(tblData[Amount],tblData[Company],$A$5,tblData[Fiscal year],G$4,tblData[Standard line item],$A11)</f>
        <v>3682</v>
      </c>
    </row>
    <row r="12" spans="1:7" x14ac:dyDescent="0.35">
      <c r="A12" t="s">
        <v>16</v>
      </c>
      <c r="B12" s="15">
        <f>SUMIFS(tblData[Amount],tblData[Company],$A$5,tblData[Fiscal year],B$4,tblData[Standard line item],$A12)</f>
        <v>431</v>
      </c>
      <c r="C12" s="15">
        <f>SUMIFS(tblData[Amount],tblData[Company],$A$5,tblData[Fiscal year],C$4,tblData[Standard line item],$A12)</f>
        <v>466</v>
      </c>
      <c r="D12" s="15">
        <f>SUMIFS(tblData[Amount],tblData[Company],$A$5,tblData[Fiscal year],D$4,tblData[Standard line item],$A12)</f>
        <v>665</v>
      </c>
      <c r="E12" s="15">
        <f>SUMIFS(tblData[Amount],tblData[Company],$A$5,tblData[Fiscal year],E$4,tblData[Standard line item],$A12)</f>
        <v>714</v>
      </c>
      <c r="F12" s="15">
        <f>SUMIFS(tblData[Amount],tblData[Company],$A$5,tblData[Fiscal year],F$4,tblData[Standard line item],$A12)</f>
        <v>731</v>
      </c>
      <c r="G12" s="15">
        <f>SUMIFS(tblData[Amount],tblData[Company],$A$5,tblData[Fiscal year],G$4,tblData[Standard line item],$A12)</f>
        <v>1080</v>
      </c>
    </row>
    <row r="13" spans="1:7" x14ac:dyDescent="0.35">
      <c r="A13" t="s">
        <v>18</v>
      </c>
      <c r="B13" s="15">
        <f>SUMIFS(tblData[Amount],tblData[Company],$A$5,tblData[Fiscal year],B$4,tblData[Standard line item],$A13)</f>
        <v>0</v>
      </c>
      <c r="C13" s="15">
        <f>SUMIFS(tblData[Amount],tblData[Company],$A$5,tblData[Fiscal year],C$4,tblData[Standard line item],$A13)</f>
        <v>0</v>
      </c>
      <c r="D13" s="15">
        <f>SUMIFS(tblData[Amount],tblData[Company],$A$5,tblData[Fiscal year],D$4,tblData[Standard line item],$A13)</f>
        <v>0</v>
      </c>
      <c r="E13" s="15">
        <f>SUMIFS(tblData[Amount],tblData[Company],$A$5,tblData[Fiscal year],E$4,tblData[Standard line item],$A13)</f>
        <v>0</v>
      </c>
      <c r="F13" s="15">
        <f>SUMIFS(tblData[Amount],tblData[Company],$A$5,tblData[Fiscal year],F$4,tblData[Standard line item],$A13)</f>
        <v>215</v>
      </c>
      <c r="G13" s="15">
        <f>SUMIFS(tblData[Amount],tblData[Company],$A$5,tblData[Fiscal year],G$4,tblData[Standard line item],$A13)</f>
        <v>136</v>
      </c>
    </row>
    <row r="14" spans="1:7" x14ac:dyDescent="0.35">
      <c r="A14" t="s">
        <v>20</v>
      </c>
      <c r="B14" s="15">
        <f>SUMIFS(tblData[Amount],tblData[Company],$A$5,tblData[Fiscal year],B$4,tblData[Standard line item],$A14)</f>
        <v>1192</v>
      </c>
      <c r="C14" s="15">
        <f>SUMIFS(tblData[Amount],tblData[Company],$A$5,tblData[Fiscal year],C$4,tblData[Standard line item],$A14)</f>
        <v>1976</v>
      </c>
      <c r="D14" s="15">
        <f>SUMIFS(tblData[Amount],tblData[Company],$A$5,tblData[Fiscal year],D$4,tblData[Standard line item],$A14)</f>
        <v>1994</v>
      </c>
      <c r="E14" s="15">
        <f>SUMIFS(tblData[Amount],tblData[Company],$A$5,tblData[Fiscal year],E$4,tblData[Standard line item],$A14)</f>
        <v>2187</v>
      </c>
      <c r="F14" s="15">
        <f>SUMIFS(tblData[Amount],tblData[Company],$A$5,tblData[Fiscal year],F$4,tblData[Standard line item],$A14)</f>
        <v>2275</v>
      </c>
      <c r="G14" s="15">
        <f>SUMIFS(tblData[Amount],tblData[Company],$A$5,tblData[Fiscal year],G$4,tblData[Standard line item],$A14)</f>
        <v>2738</v>
      </c>
    </row>
    <row r="15" spans="1:7" x14ac:dyDescent="0.35">
      <c r="A15" t="s">
        <v>22</v>
      </c>
      <c r="B15" s="15">
        <f>SUMIFS(tblData[Amount],tblData[Company],$A$5,tblData[Fiscal year],B$4,tblData[Standard line item],$A15)</f>
        <v>1108</v>
      </c>
      <c r="C15" s="15">
        <f>SUMIFS(tblData[Amount],tblData[Company],$A$5,tblData[Fiscal year],C$4,tblData[Standard line item],$A15)</f>
        <v>1875</v>
      </c>
      <c r="D15" s="15">
        <f>SUMIFS(tblData[Amount],tblData[Company],$A$5,tblData[Fiscal year],D$4,tblData[Standard line item],$A15)</f>
        <v>1921</v>
      </c>
      <c r="E15" s="15">
        <f>SUMIFS(tblData[Amount],tblData[Company],$A$5,tblData[Fiscal year],E$4,tblData[Standard line item],$A15)</f>
        <v>2100</v>
      </c>
      <c r="F15" s="15">
        <f>SUMIFS(tblData[Amount],tblData[Company],$A$5,tblData[Fiscal year],F$4,tblData[Standard line item],$A15)</f>
        <v>2171</v>
      </c>
      <c r="G15" s="15">
        <f>SUMIFS(tblData[Amount],tblData[Company],$A$5,tblData[Fiscal year],G$4,tblData[Standard line item],$A15)</f>
        <v>2667</v>
      </c>
    </row>
    <row r="16" spans="1:7" x14ac:dyDescent="0.35">
      <c r="A16" t="s">
        <v>23</v>
      </c>
      <c r="B16" s="15">
        <f>SUMIFS(tblData[Amount],tblData[Company],$A$5,tblData[Fiscal year],B$4,tblData[Standard line item],$A16)</f>
        <v>5195</v>
      </c>
      <c r="C16" s="15">
        <f>SUMIFS(tblData[Amount],tblData[Company],$A$5,tblData[Fiscal year],C$4,tblData[Standard line item],$A16)</f>
        <v>5166</v>
      </c>
      <c r="D16" s="15">
        <f>SUMIFS(tblData[Amount],tblData[Company],$A$5,tblData[Fiscal year],D$4,tblData[Standard line item],$A16)</f>
        <v>5855</v>
      </c>
      <c r="E16" s="15">
        <f>SUMIFS(tblData[Amount],tblData[Company],$A$5,tblData[Fiscal year],E$4,tblData[Standard line item],$A16)</f>
        <v>5820</v>
      </c>
      <c r="F16" s="15">
        <f>SUMIFS(tblData[Amount],tblData[Company],$A$5,tblData[Fiscal year],F$4,tblData[Standard line item],$A16)</f>
        <v>6330</v>
      </c>
      <c r="G16" s="15">
        <f>SUMIFS(tblData[Amount],tblData[Company],$A$5,tblData[Fiscal year],G$4,tblData[Standard line item],$A16)</f>
        <v>6491</v>
      </c>
    </row>
    <row r="17" spans="1:7" x14ac:dyDescent="0.35">
      <c r="A17" t="s">
        <v>25</v>
      </c>
      <c r="B17" s="15">
        <f>SUMIFS(tblData[Amount],tblData[Company],$A$5,tblData[Fiscal year],B$4,tblData[Standard line item],$A17)</f>
        <v>11542</v>
      </c>
      <c r="C17" s="15">
        <f>SUMIFS(tblData[Amount],tblData[Company],$A$5,tblData[Fiscal year],C$4,tblData[Standard line item],$A17)</f>
        <v>12637</v>
      </c>
      <c r="D17" s="15">
        <f>SUMIFS(tblData[Amount],tblData[Company],$A$5,tblData[Fiscal year],D$4,tblData[Standard line item],$A17)</f>
        <v>13376</v>
      </c>
      <c r="E17" s="15">
        <f>SUMIFS(tblData[Amount],tblData[Company],$A$5,tblData[Fiscal year],E$4,tblData[Standard line item],$A17)</f>
        <v>13578</v>
      </c>
      <c r="F17" s="15">
        <f>SUMIFS(tblData[Amount],tblData[Company],$A$5,tblData[Fiscal year],F$4,tblData[Standard line item],$A17)</f>
        <v>14548</v>
      </c>
      <c r="G17" s="15">
        <f>SUMIFS(tblData[Amount],tblData[Company],$A$5,tblData[Fiscal year],G$4,tblData[Standard line item],$A17)</f>
        <v>14928</v>
      </c>
    </row>
    <row r="18" spans="1:7" x14ac:dyDescent="0.35">
      <c r="A18" t="s">
        <v>26</v>
      </c>
      <c r="B18" s="15">
        <f>SUMIFS(tblData[Amount],tblData[Company],$A$5,tblData[Fiscal year],B$4,tblData[Standard line item],$A18)</f>
        <v>35873</v>
      </c>
      <c r="C18" s="15">
        <f>SUMIFS(tblData[Amount],tblData[Company],$A$5,tblData[Fiscal year],C$4,tblData[Standard line item],$A18)</f>
        <v>36614</v>
      </c>
      <c r="D18" s="15">
        <f>SUMIFS(tblData[Amount],tblData[Company],$A$5,tblData[Fiscal year],D$4,tblData[Standard line item],$A18)</f>
        <v>38147</v>
      </c>
      <c r="E18" s="15">
        <f>SUMIFS(tblData[Amount],tblData[Company],$A$5,tblData[Fiscal year],E$4,tblData[Standard line item],$A18)</f>
        <v>38979</v>
      </c>
      <c r="F18" s="15">
        <f>SUMIFS(tblData[Amount],tblData[Company],$A$5,tblData[Fiscal year],F$4,tblData[Standard line item],$A18)</f>
        <v>40880</v>
      </c>
      <c r="G18" s="15">
        <f>SUMIFS(tblData[Amount],tblData[Company],$A$5,tblData[Fiscal year],G$4,tblData[Standard line item],$A18)</f>
        <v>41577</v>
      </c>
    </row>
    <row r="19" spans="1:7" x14ac:dyDescent="0.35">
      <c r="A19" t="s">
        <v>27</v>
      </c>
      <c r="B19" s="15">
        <f>SUMIFS(tblData[Amount],tblData[Company],$A$5,tblData[Fiscal year],B$4,tblData[Standard line item],$A19)</f>
        <v>8763</v>
      </c>
      <c r="C19" s="15">
        <f>SUMIFS(tblData[Amount],tblData[Company],$A$5,tblData[Fiscal year],C$4,tblData[Standard line item],$A19)</f>
        <v>9196</v>
      </c>
      <c r="D19" s="15">
        <f>SUMIFS(tblData[Amount],tblData[Company],$A$5,tblData[Fiscal year],D$4,tblData[Standard line item],$A19)</f>
        <v>10098</v>
      </c>
      <c r="E19" s="15">
        <f>SUMIFS(tblData[Amount],tblData[Company],$A$5,tblData[Fiscal year],E$4,tblData[Standard line item],$A19)</f>
        <v>10847</v>
      </c>
      <c r="F19" s="15">
        <f>SUMIFS(tblData[Amount],tblData[Company],$A$5,tblData[Fiscal year],F$4,tblData[Standard line item],$A19)</f>
        <v>11768</v>
      </c>
      <c r="G19" s="15">
        <f>SUMIFS(tblData[Amount],tblData[Company],$A$5,tblData[Fiscal year],G$4,tblData[Standard line item],$A19)</f>
        <v>13870</v>
      </c>
    </row>
    <row r="20" spans="1:7" x14ac:dyDescent="0.35">
      <c r="A20" t="s">
        <v>28</v>
      </c>
      <c r="B20" s="15">
        <f>SUMIFS(tblData[Amount],tblData[Company],$A$5,tblData[Fiscal year],B$4,tblData[Standard line item],$A20)</f>
        <v>24754</v>
      </c>
      <c r="C20" s="15">
        <f>SUMIFS(tblData[Amount],tblData[Company],$A$5,tblData[Fiscal year],C$4,tblData[Standard line item],$A20)</f>
        <v>24877</v>
      </c>
      <c r="D20" s="15">
        <f>SUMIFS(tblData[Amount],tblData[Company],$A$5,tblData[Fiscal year],D$4,tblData[Standard line item],$A20)</f>
        <v>26691</v>
      </c>
      <c r="E20" s="15">
        <f>SUMIFS(tblData[Amount],tblData[Company],$A$5,tblData[Fiscal year],E$4,tblData[Standard line item],$A20)</f>
        <v>27360</v>
      </c>
      <c r="F20" s="15">
        <f>SUMIFS(tblData[Amount],tblData[Company],$A$5,tblData[Fiscal year],F$4,tblData[Standard line item],$A20)</f>
        <v>29614</v>
      </c>
      <c r="G20" s="15">
        <f>SUMIFS(tblData[Amount],tblData[Company],$A$5,tblData[Fiscal year],G$4,tblData[Standard line item],$A20)</f>
        <v>30385</v>
      </c>
    </row>
    <row r="21" spans="1:7" x14ac:dyDescent="0.35">
      <c r="A21" t="s">
        <v>29</v>
      </c>
      <c r="B21" s="15">
        <f>SUMIFS(tblData[Amount],tblData[Company],$A$5,tblData[Fiscal year],B$4,tblData[Standard line item],$A21)</f>
        <v>11119</v>
      </c>
      <c r="C21" s="15">
        <f>SUMIFS(tblData[Amount],tblData[Company],$A$5,tblData[Fiscal year],C$4,tblData[Standard line item],$A21)</f>
        <v>11737</v>
      </c>
      <c r="D21" s="15">
        <f>SUMIFS(tblData[Amount],tblData[Company],$A$5,tblData[Fiscal year],D$4,tblData[Standard line item],$A21)</f>
        <v>11456</v>
      </c>
      <c r="E21" s="15">
        <f>SUMIFS(tblData[Amount],tblData[Company],$A$5,tblData[Fiscal year],E$4,tblData[Standard line item],$A21)</f>
        <v>11619</v>
      </c>
      <c r="F21" s="15">
        <f>SUMIFS(tblData[Amount],tblData[Company],$A$5,tblData[Fiscal year],F$4,tblData[Standard line item],$A21)</f>
        <v>11266</v>
      </c>
      <c r="G21" s="15">
        <f>SUMIFS(tblData[Amount],tblData[Company],$A$5,tblData[Fiscal year],G$4,tblData[Standard line item],$A21)</f>
        <v>11192</v>
      </c>
    </row>
    <row r="22" spans="1:7" x14ac:dyDescent="0.35">
      <c r="A22" t="s">
        <v>31</v>
      </c>
      <c r="B22" s="15">
        <f>SUMIFS(tblData[Amount],tblData[Company],$A$5,tblData[Fiscal year],B$4,tblData[Standard line item],$A22)</f>
        <v>10988</v>
      </c>
      <c r="C22" s="15">
        <f>SUMIFS(tblData[Amount],tblData[Company],$A$5,tblData[Fiscal year],C$4,tblData[Standard line item],$A22)</f>
        <v>11573</v>
      </c>
      <c r="D22" s="15">
        <f>SUMIFS(tblData[Amount],tblData[Company],$A$5,tblData[Fiscal year],D$4,tblData[Standard line item],$A22)</f>
        <v>11299</v>
      </c>
      <c r="E22" s="15">
        <f>SUMIFS(tblData[Amount],tblData[Company],$A$5,tblData[Fiscal year],E$4,tblData[Standard line item],$A22)</f>
        <v>11464</v>
      </c>
      <c r="F22" s="15">
        <f>SUMIFS(tblData[Amount],tblData[Company],$A$5,tblData[Fiscal year],F$4,tblData[Standard line item],$A22)</f>
        <v>11091</v>
      </c>
      <c r="G22" s="15">
        <f>SUMIFS(tblData[Amount],tblData[Company],$A$5,tblData[Fiscal year],G$4,tblData[Standard line item],$A22)</f>
        <v>11028</v>
      </c>
    </row>
    <row r="23" spans="1:7" x14ac:dyDescent="0.35">
      <c r="A23" t="s">
        <v>33</v>
      </c>
      <c r="B23" s="15">
        <f>SUMIFS(tblData[Amount],tblData[Company],$A$5,tblData[Fiscal year],B$4,tblData[Standard line item],$A23)</f>
        <v>5191</v>
      </c>
      <c r="C23" s="15">
        <f>SUMIFS(tblData[Amount],tblData[Company],$A$5,tblData[Fiscal year],C$4,tblData[Standard line item],$A23)</f>
        <v>4827</v>
      </c>
      <c r="D23" s="15">
        <f>SUMIFS(tblData[Amount],tblData[Company],$A$5,tblData[Fiscal year],D$4,tblData[Standard line item],$A23)</f>
        <v>4755</v>
      </c>
      <c r="E23" s="15">
        <f>SUMIFS(tblData[Amount],tblData[Company],$A$5,tblData[Fiscal year],E$4,tblData[Standard line item],$A23)</f>
        <v>5654</v>
      </c>
      <c r="F23" s="15">
        <f>SUMIFS(tblData[Amount],tblData[Company],$A$5,tblData[Fiscal year],F$4,tblData[Standard line item],$A23)</f>
        <v>5802</v>
      </c>
      <c r="G23" s="15">
        <f>SUMIFS(tblData[Amount],tblData[Company],$A$5,tblData[Fiscal year],G$4,tblData[Standard line item],$A23)</f>
        <v>6264</v>
      </c>
    </row>
    <row r="24" spans="1:7" x14ac:dyDescent="0.35">
      <c r="A24" t="s">
        <v>36</v>
      </c>
      <c r="B24" s="15">
        <f>SUMIFS(tblData[Amount],tblData[Company],$A$5,tblData[Fiscal year],B$4,tblData[Standard line item],$A24)</f>
        <v>820</v>
      </c>
      <c r="C24" s="15">
        <f>SUMIFS(tblData[Amount],tblData[Company],$A$5,tblData[Fiscal year],C$4,tblData[Standard line item],$A24)</f>
        <v>803</v>
      </c>
      <c r="D24" s="15">
        <f>SUMIFS(tblData[Amount],tblData[Company],$A$5,tblData[Fiscal year],D$4,tblData[Standard line item],$A24)</f>
        <v>1152</v>
      </c>
      <c r="E24" s="15">
        <f>SUMIFS(tblData[Amount],tblData[Company],$A$5,tblData[Fiscal year],E$4,tblData[Standard line item],$A24)</f>
        <v>1665</v>
      </c>
      <c r="F24" s="15">
        <f>SUMIFS(tblData[Amount],tblData[Company],$A$5,tblData[Fiscal year],F$4,tblData[Standard line item],$A24)</f>
        <v>1823</v>
      </c>
      <c r="G24" s="15">
        <f>SUMIFS(tblData[Amount],tblData[Company],$A$5,tblData[Fiscal year],G$4,tblData[Standard line item],$A24)</f>
        <v>1712</v>
      </c>
    </row>
    <row r="25" spans="1:7" x14ac:dyDescent="0.35">
      <c r="A25" t="s">
        <v>38</v>
      </c>
      <c r="B25" s="15">
        <f>SUMIFS(tblData[Amount],tblData[Company],$A$5,tblData[Fiscal year],B$4,tblData[Standard line item],$A25)</f>
        <v>338</v>
      </c>
      <c r="C25" s="15">
        <f>SUMIFS(tblData[Amount],tblData[Company],$A$5,tblData[Fiscal year],C$4,tblData[Standard line item],$A25)</f>
        <v>379</v>
      </c>
      <c r="D25" s="15">
        <f>SUMIFS(tblData[Amount],tblData[Company],$A$5,tblData[Fiscal year],D$4,tblData[Standard line item],$A25)</f>
        <v>419</v>
      </c>
      <c r="E25" s="15">
        <f>SUMIFS(tblData[Amount],tblData[Company],$A$5,tblData[Fiscal year],E$4,tblData[Standard line item],$A25)</f>
        <v>407</v>
      </c>
      <c r="F25" s="15">
        <f>SUMIFS(tblData[Amount],tblData[Company],$A$5,tblData[Fiscal year],F$4,tblData[Standard line item],$A25)</f>
        <v>377</v>
      </c>
      <c r="G25" s="15">
        <f>SUMIFS(tblData[Amount],tblData[Company],$A$5,tblData[Fiscal year],G$4,tblData[Standard line item],$A25)</f>
        <v>350</v>
      </c>
    </row>
    <row r="26" spans="1:7" x14ac:dyDescent="0.35">
      <c r="A26" s="16" t="s">
        <v>126</v>
      </c>
      <c r="B26" s="17">
        <f t="shared" ref="B26:G26" si="2">B24+B25</f>
        <v>1158</v>
      </c>
      <c r="C26" s="17">
        <f t="shared" si="2"/>
        <v>1182</v>
      </c>
      <c r="D26" s="17">
        <f t="shared" si="2"/>
        <v>1571</v>
      </c>
      <c r="E26" s="17">
        <f t="shared" si="2"/>
        <v>2072</v>
      </c>
      <c r="F26" s="17">
        <f t="shared" si="2"/>
        <v>2200</v>
      </c>
      <c r="G26" s="17">
        <f t="shared" si="2"/>
        <v>2062</v>
      </c>
    </row>
    <row r="27" spans="1:7" x14ac:dyDescent="0.35">
      <c r="A27" t="s">
        <v>40</v>
      </c>
      <c r="B27" s="15">
        <f>SUMIFS(tblData[Amount],tblData[Company],$A$5,tblData[Fiscal year],B$4,tblData[Standard line item],$A27)</f>
        <v>1024</v>
      </c>
      <c r="C27" s="15">
        <f>SUMIFS(tblData[Amount],tblData[Company],$A$5,tblData[Fiscal year],C$4,tblData[Standard line item],$A27)</f>
        <v>1020</v>
      </c>
      <c r="D27" s="15">
        <f>SUMIFS(tblData[Amount],tblData[Company],$A$5,tblData[Fiscal year],D$4,tblData[Standard line item],$A27)</f>
        <v>994</v>
      </c>
      <c r="E27" s="15">
        <f>SUMIFS(tblData[Amount],tblData[Company],$A$5,tblData[Fiscal year],E$4,tblData[Standard line item],$A27)</f>
        <v>1071</v>
      </c>
      <c r="F27" s="15">
        <f>SUMIFS(tblData[Amount],tblData[Company],$A$5,tblData[Fiscal year],F$4,tblData[Standard line item],$A27)</f>
        <v>1086</v>
      </c>
      <c r="G27" s="15">
        <f>SUMIFS(tblData[Amount],tblData[Company],$A$5,tblData[Fiscal year],G$4,tblData[Standard line item],$A27)</f>
        <v>1255</v>
      </c>
    </row>
    <row r="28" spans="1:7" x14ac:dyDescent="0.35">
      <c r="A28" s="16" t="s">
        <v>127</v>
      </c>
      <c r="B28" s="17">
        <f t="shared" ref="B28:G28" si="3">B23-B26-B27</f>
        <v>3009</v>
      </c>
      <c r="C28" s="17">
        <f t="shared" si="3"/>
        <v>2625</v>
      </c>
      <c r="D28" s="17">
        <f t="shared" si="3"/>
        <v>2190</v>
      </c>
      <c r="E28" s="17">
        <f t="shared" si="3"/>
        <v>2511</v>
      </c>
      <c r="F28" s="17">
        <f t="shared" si="3"/>
        <v>2516</v>
      </c>
      <c r="G28" s="17">
        <f t="shared" si="3"/>
        <v>2947</v>
      </c>
    </row>
    <row r="29" spans="1:7" x14ac:dyDescent="0.35">
      <c r="A29" t="s">
        <v>128</v>
      </c>
      <c r="B29" s="18">
        <f>_xlfn.XLOOKUP($A$5&amp;"|"&amp;B$4,tblPeriods[Key],tblPeriods[Weeks])</f>
        <v>53</v>
      </c>
      <c r="C29" s="18">
        <f>_xlfn.XLOOKUP($A$5&amp;"|"&amp;C$4,tblPeriods[Key],tblPeriods[Weeks])</f>
        <v>52</v>
      </c>
      <c r="D29" s="18">
        <f>_xlfn.XLOOKUP($A$5&amp;"|"&amp;D$4,tblPeriods[Key],tblPeriods[Weeks])</f>
        <v>52</v>
      </c>
      <c r="E29" s="18">
        <f>_xlfn.XLOOKUP($A$5&amp;"|"&amp;E$4,tblPeriods[Key],tblPeriods[Weeks])</f>
        <v>52</v>
      </c>
      <c r="F29" s="18">
        <f>_xlfn.XLOOKUP($A$5&amp;"|"&amp;F$4,tblPeriods[Key],tblPeriods[Weeks])</f>
        <v>52</v>
      </c>
      <c r="G29" s="18">
        <f>_xlfn.XLOOKUP($A$5&amp;"|"&amp;G$4,tblPeriods[Key],tblPeriods[Weeks])</f>
        <v>53</v>
      </c>
    </row>
    <row r="31" spans="1:7" x14ac:dyDescent="0.35">
      <c r="A31" s="19" t="s">
        <v>42</v>
      </c>
      <c r="B31" s="13"/>
      <c r="C31" s="13"/>
      <c r="D31" s="13"/>
      <c r="E31" s="13"/>
      <c r="F31" s="13"/>
      <c r="G31" s="13"/>
    </row>
    <row r="32" spans="1:7" x14ac:dyDescent="0.35">
      <c r="A32" t="s">
        <v>9</v>
      </c>
      <c r="B32" s="15">
        <f>SUMIFS(tblData[Amount],tblData[Company],$A$31,tblData[Fiscal year],B$4,tblData[Standard line item],$A32)</f>
        <v>17997.5</v>
      </c>
      <c r="C32" s="15">
        <f>SUMIFS(tblData[Amount],tblData[Company],$A$31,tblData[Fiscal year],C$4,tblData[Standard line item],$A32)</f>
        <v>18283</v>
      </c>
      <c r="D32" s="15">
        <f>SUMIFS(tblData[Amount],tblData[Company],$A$31,tblData[Fiscal year],D$4,tblData[Standard line item],$A32)</f>
        <v>18888.900000000001</v>
      </c>
      <c r="E32" s="15">
        <f>SUMIFS(tblData[Amount],tblData[Company],$A$31,tblData[Fiscal year],E$4,tblData[Standard line item],$A32)</f>
        <v>20724.599999999999</v>
      </c>
      <c r="F32" s="15">
        <f>SUMIFS(tblData[Amount],tblData[Company],$A$31,tblData[Fiscal year],F$4,tblData[Standard line item],$A32)</f>
        <v>21219.9</v>
      </c>
      <c r="G32" s="15">
        <f>SUMIFS(tblData[Amount],tblData[Company],$A$31,tblData[Fiscal year],G$4,tblData[Standard line item],$A32)</f>
        <v>22006.7</v>
      </c>
    </row>
    <row r="33" spans="1:7" x14ac:dyDescent="0.35">
      <c r="A33" t="s">
        <v>12</v>
      </c>
      <c r="B33" s="15">
        <f>SUMIFS(tblData[Amount],tblData[Company],$A$31,tblData[Fiscal year],B$4,tblData[Standard line item],$A33)</f>
        <v>14415.7</v>
      </c>
      <c r="C33" s="15">
        <f>SUMIFS(tblData[Amount],tblData[Company],$A$31,tblData[Fiscal year],C$4,tblData[Standard line item],$A33)</f>
        <v>14628.2</v>
      </c>
      <c r="D33" s="15">
        <f>SUMIFS(tblData[Amount],tblData[Company],$A$31,tblData[Fiscal year],D$4,tblData[Standard line item],$A33)</f>
        <v>15105.6</v>
      </c>
      <c r="E33" s="15">
        <f>SUMIFS(tblData[Amount],tblData[Company],$A$31,tblData[Fiscal year],E$4,tblData[Standard line item],$A33)</f>
        <v>16642.400000000001</v>
      </c>
      <c r="F33" s="15">
        <f>SUMIFS(tblData[Amount],tblData[Company],$A$31,tblData[Fiscal year],F$4,tblData[Standard line item],$A33)</f>
        <v>17040.599999999999</v>
      </c>
      <c r="G33" s="15">
        <f>SUMIFS(tblData[Amount],tblData[Company],$A$31,tblData[Fiscal year],G$4,tblData[Standard line item],$A33)</f>
        <v>17636.400000000001</v>
      </c>
    </row>
    <row r="34" spans="1:7" x14ac:dyDescent="0.35">
      <c r="A34" s="16" t="s">
        <v>124</v>
      </c>
      <c r="B34" s="17">
        <f t="shared" ref="B34:G34" si="4">B32-B33</f>
        <v>3581.7999999999993</v>
      </c>
      <c r="C34" s="17">
        <f t="shared" si="4"/>
        <v>3654.7999999999993</v>
      </c>
      <c r="D34" s="17">
        <f t="shared" si="4"/>
        <v>3783.3000000000011</v>
      </c>
      <c r="E34" s="17">
        <f t="shared" si="4"/>
        <v>4082.1999999999971</v>
      </c>
      <c r="F34" s="17">
        <f t="shared" si="4"/>
        <v>4179.3000000000029</v>
      </c>
      <c r="G34" s="17">
        <f t="shared" si="4"/>
        <v>4370.2999999999993</v>
      </c>
    </row>
    <row r="35" spans="1:7" x14ac:dyDescent="0.35">
      <c r="A35" s="16" t="s">
        <v>125</v>
      </c>
      <c r="B35" s="17">
        <f t="shared" ref="B35:G35" si="5">B37+B36</f>
        <v>1221.0999999999999</v>
      </c>
      <c r="C35" s="17">
        <f t="shared" si="5"/>
        <v>1254.2</v>
      </c>
      <c r="D35" s="17">
        <f t="shared" si="5"/>
        <v>1271.1999999999998</v>
      </c>
      <c r="E35" s="17">
        <f t="shared" si="5"/>
        <v>1444.3999999999999</v>
      </c>
      <c r="F35" s="17">
        <f t="shared" si="5"/>
        <v>1395.8</v>
      </c>
      <c r="G35" s="17">
        <f t="shared" si="5"/>
        <v>1464</v>
      </c>
    </row>
    <row r="36" spans="1:7" x14ac:dyDescent="0.35">
      <c r="A36" t="s">
        <v>14</v>
      </c>
      <c r="B36" s="15">
        <f>SUMIFS(tblData[Amount],tblData[Company],$A$31,tblData[Fiscal year],B$4,tblData[Standard line item],$A36)</f>
        <v>136.80000000000001</v>
      </c>
      <c r="C36" s="15">
        <f>SUMIFS(tblData[Amount],tblData[Company],$A$31,tblData[Fiscal year],C$4,tblData[Standard line item],$A36)</f>
        <v>133.5</v>
      </c>
      <c r="D36" s="15">
        <f>SUMIFS(tblData[Amount],tblData[Company],$A$31,tblData[Fiscal year],D$4,tblData[Standard line item],$A36)</f>
        <v>117.6</v>
      </c>
      <c r="E36" s="15">
        <f>SUMIFS(tblData[Amount],tblData[Company],$A$31,tblData[Fiscal year],E$4,tblData[Standard line item],$A36)</f>
        <v>122.6</v>
      </c>
      <c r="F36" s="15">
        <f>SUMIFS(tblData[Amount],tblData[Company],$A$31,tblData[Fiscal year],F$4,tblData[Standard line item],$A36)</f>
        <v>145.69999999999999</v>
      </c>
      <c r="G36" s="15">
        <f>SUMIFS(tblData[Amount],tblData[Company],$A$31,tblData[Fiscal year],G$4,tblData[Standard line item],$A36)</f>
        <v>143.80000000000001</v>
      </c>
    </row>
    <row r="37" spans="1:7" x14ac:dyDescent="0.35">
      <c r="A37" t="s">
        <v>15</v>
      </c>
      <c r="B37" s="15">
        <f>SUMIFS(tblData[Amount],tblData[Company],$A$31,tblData[Fiscal year],B$4,tblData[Standard line item],$A37)</f>
        <v>1084.3</v>
      </c>
      <c r="C37" s="15">
        <f>SUMIFS(tblData[Amount],tblData[Company],$A$31,tblData[Fiscal year],C$4,tblData[Standard line item],$A37)</f>
        <v>1120.7</v>
      </c>
      <c r="D37" s="15">
        <f>SUMIFS(tblData[Amount],tblData[Company],$A$31,tblData[Fiscal year],D$4,tblData[Standard line item],$A37)</f>
        <v>1153.5999999999999</v>
      </c>
      <c r="E37" s="15">
        <f>SUMIFS(tblData[Amount],tblData[Company],$A$31,tblData[Fiscal year],E$4,tblData[Standard line item],$A37)</f>
        <v>1321.8</v>
      </c>
      <c r="F37" s="15">
        <f>SUMIFS(tblData[Amount],tblData[Company],$A$31,tblData[Fiscal year],F$4,tblData[Standard line item],$A37)</f>
        <v>1250.0999999999999</v>
      </c>
      <c r="G37" s="15">
        <f>SUMIFS(tblData[Amount],tblData[Company],$A$31,tblData[Fiscal year],G$4,tblData[Standard line item],$A37)</f>
        <v>1320.2</v>
      </c>
    </row>
    <row r="38" spans="1:7" x14ac:dyDescent="0.35">
      <c r="A38" t="s">
        <v>16</v>
      </c>
      <c r="B38" s="15">
        <f>SUMIFS(tblData[Amount],tblData[Company],$A$31,tblData[Fiscal year],B$4,tblData[Standard line item],$A38)</f>
        <v>287.89999999999998</v>
      </c>
      <c r="C38" s="15">
        <f>SUMIFS(tblData[Amount],tblData[Company],$A$31,tblData[Fiscal year],C$4,tblData[Standard line item],$A38)</f>
        <v>295</v>
      </c>
      <c r="D38" s="15">
        <f>SUMIFS(tblData[Amount],tblData[Company],$A$31,tblData[Fiscal year],D$4,tblData[Standard line item],$A38)</f>
        <v>304.10000000000002</v>
      </c>
      <c r="E38" s="15">
        <f>SUMIFS(tblData[Amount],tblData[Company],$A$31,tblData[Fiscal year],E$4,tblData[Standard line item],$A38)</f>
        <v>303</v>
      </c>
      <c r="F38" s="15">
        <f>SUMIFS(tblData[Amount],tblData[Company],$A$31,tblData[Fiscal year],F$4,tblData[Standard line item],$A38)</f>
        <v>318.39999999999998</v>
      </c>
      <c r="G38" s="15">
        <f>SUMIFS(tblData[Amount],tblData[Company],$A$31,tblData[Fiscal year],G$4,tblData[Standard line item],$A38)</f>
        <v>300.7</v>
      </c>
    </row>
    <row r="39" spans="1:7" x14ac:dyDescent="0.35">
      <c r="A39" t="s">
        <v>18</v>
      </c>
      <c r="B39" s="15">
        <f>SUMIFS(tblData[Amount],tblData[Company],$A$31,tblData[Fiscal year],B$4,tblData[Standard line item],$A39)</f>
        <v>0</v>
      </c>
      <c r="C39" s="15">
        <f>SUMIFS(tblData[Amount],tblData[Company],$A$31,tblData[Fiscal year],C$4,tblData[Standard line item],$A39)</f>
        <v>0</v>
      </c>
      <c r="D39" s="15">
        <f>SUMIFS(tblData[Amount],tblData[Company],$A$31,tblData[Fiscal year],D$4,tblData[Standard line item],$A39)</f>
        <v>0</v>
      </c>
      <c r="E39" s="15">
        <f>SUMIFS(tblData[Amount],tblData[Company],$A$31,tblData[Fiscal year],E$4,tblData[Standard line item],$A39)</f>
        <v>0</v>
      </c>
      <c r="F39" s="15">
        <f>SUMIFS(tblData[Amount],tblData[Company],$A$31,tblData[Fiscal year],F$4,tblData[Standard line item],$A39)</f>
        <v>0</v>
      </c>
      <c r="G39" s="15">
        <f>SUMIFS(tblData[Amount],tblData[Company],$A$31,tblData[Fiscal year],G$4,tblData[Standard line item],$A39)</f>
        <v>0</v>
      </c>
    </row>
    <row r="40" spans="1:7" x14ac:dyDescent="0.35">
      <c r="A40" t="s">
        <v>20</v>
      </c>
      <c r="B40" s="15">
        <f>SUMIFS(tblData[Amount],tblData[Company],$A$31,tblData[Fiscal year],B$4,tblData[Standard line item],$A40)</f>
        <v>796.4</v>
      </c>
      <c r="C40" s="15">
        <f>SUMIFS(tblData[Amount],tblData[Company],$A$31,tblData[Fiscal year],C$4,tblData[Standard line item],$A40)</f>
        <v>825.7</v>
      </c>
      <c r="D40" s="15">
        <f>SUMIFS(tblData[Amount],tblData[Company],$A$31,tblData[Fiscal year],D$4,tblData[Standard line item],$A40)</f>
        <v>849.5</v>
      </c>
      <c r="E40" s="15">
        <f>SUMIFS(tblData[Amount],tblData[Company],$A$31,tblData[Fiscal year],E$4,tblData[Standard line item],$A40)</f>
        <v>1018.8</v>
      </c>
      <c r="F40" s="15">
        <f>SUMIFS(tblData[Amount],tblData[Company],$A$31,tblData[Fiscal year],F$4,tblData[Standard line item],$A40)</f>
        <v>931.7</v>
      </c>
      <c r="G40" s="15">
        <f>SUMIFS(tblData[Amount],tblData[Company],$A$31,tblData[Fiscal year],G$4,tblData[Standard line item],$A40)</f>
        <v>1019.5</v>
      </c>
    </row>
    <row r="41" spans="1:7" x14ac:dyDescent="0.35">
      <c r="A41" t="s">
        <v>22</v>
      </c>
      <c r="B41" s="15">
        <f>SUMIFS(tblData[Amount],tblData[Company],$A$31,tblData[Fiscal year],B$4,tblData[Standard line item],$A41)</f>
        <v>795.2</v>
      </c>
      <c r="C41" s="15">
        <f>SUMIFS(tblData[Amount],tblData[Company],$A$31,tblData[Fiscal year],C$4,tblData[Standard line item],$A41)</f>
        <v>823</v>
      </c>
      <c r="D41" s="15">
        <f>SUMIFS(tblData[Amount],tblData[Company],$A$31,tblData[Fiscal year],D$4,tblData[Standard line item],$A41)</f>
        <v>846.1</v>
      </c>
      <c r="E41" s="15">
        <f>SUMIFS(tblData[Amount],tblData[Company],$A$31,tblData[Fiscal year],E$4,tblData[Standard line item],$A41)</f>
        <v>1014.8</v>
      </c>
      <c r="F41" s="15">
        <f>SUMIFS(tblData[Amount],tblData[Company],$A$31,tblData[Fiscal year],F$4,tblData[Standard line item],$A41)</f>
        <v>928.8</v>
      </c>
      <c r="G41" s="15">
        <f>SUMIFS(tblData[Amount],tblData[Company],$A$31,tblData[Fiscal year],G$4,tblData[Standard line item],$A41)</f>
        <v>1017</v>
      </c>
    </row>
    <row r="42" spans="1:7" x14ac:dyDescent="0.35">
      <c r="A42" t="s">
        <v>23</v>
      </c>
      <c r="B42" s="15">
        <f>SUMIFS(tblData[Amount],tblData[Company],$A$31,tblData[Fiscal year],B$4,tblData[Standard line item],$A42)</f>
        <v>1268.2</v>
      </c>
      <c r="C42" s="15">
        <f>SUMIFS(tblData[Amount],tblData[Company],$A$31,tblData[Fiscal year],C$4,tblData[Standard line item],$A42)</f>
        <v>1169</v>
      </c>
      <c r="D42" s="15">
        <f>SUMIFS(tblData[Amount],tblData[Company],$A$31,tblData[Fiscal year],D$4,tblData[Standard line item],$A42)</f>
        <v>1331.1</v>
      </c>
      <c r="E42" s="15">
        <f>SUMIFS(tblData[Amount],tblData[Company],$A$31,tblData[Fiscal year],E$4,tblData[Standard line item],$A42)</f>
        <v>1451</v>
      </c>
      <c r="F42" s="15">
        <f>SUMIFS(tblData[Amount],tblData[Company],$A$31,tblData[Fiscal year],F$4,tblData[Standard line item],$A42)</f>
        <v>1508.3</v>
      </c>
      <c r="G42" s="15">
        <f>SUMIFS(tblData[Amount],tblData[Company],$A$31,tblData[Fiscal year],G$4,tblData[Standard line item],$A42)</f>
        <v>1604.3</v>
      </c>
    </row>
    <row r="43" spans="1:7" x14ac:dyDescent="0.35">
      <c r="A43" t="s">
        <v>25</v>
      </c>
      <c r="B43" s="15">
        <f>SUMIFS(tblData[Amount],tblData[Company],$A$31,tblData[Fiscal year],B$4,tblData[Standard line item],$A43)</f>
        <v>2500.5</v>
      </c>
      <c r="C43" s="15">
        <f>SUMIFS(tblData[Amount],tblData[Company],$A$31,tblData[Fiscal year],C$4,tblData[Standard line item],$A43)</f>
        <v>2466.8000000000002</v>
      </c>
      <c r="D43" s="15">
        <f>SUMIFS(tblData[Amount],tblData[Company],$A$31,tblData[Fiscal year],D$4,tblData[Standard line item],$A43)</f>
        <v>2183.3000000000002</v>
      </c>
      <c r="E43" s="15">
        <f>SUMIFS(tblData[Amount],tblData[Company],$A$31,tblData[Fiscal year],E$4,tblData[Standard line item],$A43)</f>
        <v>2403.6</v>
      </c>
      <c r="F43" s="15">
        <f>SUMIFS(tblData[Amount],tblData[Company],$A$31,tblData[Fiscal year],F$4,tblData[Standard line item],$A43)</f>
        <v>2474</v>
      </c>
      <c r="G43" s="15">
        <f>SUMIFS(tblData[Amount],tblData[Company],$A$31,tblData[Fiscal year],G$4,tblData[Standard line item],$A43)</f>
        <v>2661</v>
      </c>
    </row>
    <row r="44" spans="1:7" x14ac:dyDescent="0.35">
      <c r="A44" t="s">
        <v>26</v>
      </c>
      <c r="B44" s="15">
        <f>SUMIFS(tblData[Amount],tblData[Company],$A$31,tblData[Fiscal year],B$4,tblData[Standard line item],$A44)</f>
        <v>13423.9</v>
      </c>
      <c r="C44" s="15">
        <f>SUMIFS(tblData[Amount],tblData[Company],$A$31,tblData[Fiscal year],C$4,tblData[Standard line item],$A44)</f>
        <v>13592.1</v>
      </c>
      <c r="D44" s="15">
        <f>SUMIFS(tblData[Amount],tblData[Company],$A$31,tblData[Fiscal year],D$4,tblData[Standard line item],$A44)</f>
        <v>13401.3</v>
      </c>
      <c r="E44" s="15">
        <f>SUMIFS(tblData[Amount],tblData[Company],$A$31,tblData[Fiscal year],E$4,tblData[Standard line item],$A44)</f>
        <v>13865.3</v>
      </c>
      <c r="F44" s="15">
        <f>SUMIFS(tblData[Amount],tblData[Company],$A$31,tblData[Fiscal year],F$4,tblData[Standard line item],$A44)</f>
        <v>14140.6</v>
      </c>
      <c r="G44" s="15">
        <f>SUMIFS(tblData[Amount],tblData[Company],$A$31,tblData[Fiscal year],G$4,tblData[Standard line item],$A44)</f>
        <v>14539.4</v>
      </c>
    </row>
    <row r="45" spans="1:7" x14ac:dyDescent="0.35">
      <c r="A45" t="s">
        <v>27</v>
      </c>
      <c r="B45" s="15">
        <f>SUMIFS(tblData[Amount],tblData[Company],$A$31,tblData[Fiscal year],B$4,tblData[Standard line item],$A45)</f>
        <v>1860.1</v>
      </c>
      <c r="C45" s="15">
        <f>SUMIFS(tblData[Amount],tblData[Company],$A$31,tblData[Fiscal year],C$4,tblData[Standard line item],$A45)</f>
        <v>2198.1999999999998</v>
      </c>
      <c r="D45" s="15">
        <f>SUMIFS(tblData[Amount],tblData[Company],$A$31,tblData[Fiscal year],D$4,tblData[Standard line item],$A45)</f>
        <v>1952.5</v>
      </c>
      <c r="E45" s="15">
        <f>SUMIFS(tblData[Amount],tblData[Company],$A$31,tblData[Fiscal year],E$4,tblData[Standard line item],$A45)</f>
        <v>1960.8</v>
      </c>
      <c r="F45" s="15">
        <f>SUMIFS(tblData[Amount],tblData[Company],$A$31,tblData[Fiscal year],F$4,tblData[Standard line item],$A45)</f>
        <v>2285.6</v>
      </c>
      <c r="G45" s="15">
        <f>SUMIFS(tblData[Amount],tblData[Company],$A$31,tblData[Fiscal year],G$4,tblData[Standard line item],$A45)</f>
        <v>2053.8000000000002</v>
      </c>
    </row>
    <row r="46" spans="1:7" x14ac:dyDescent="0.35">
      <c r="A46" t="s">
        <v>28</v>
      </c>
      <c r="B46" s="15">
        <f>SUMIFS(tblData[Amount],tblData[Company],$A$31,tblData[Fiscal year],B$4,tblData[Standard line item],$A46)</f>
        <v>7268.5</v>
      </c>
      <c r="C46" s="15">
        <f>SUMIFS(tblData[Amount],tblData[Company],$A$31,tblData[Fiscal year],C$4,tblData[Standard line item],$A46)</f>
        <v>7179.3</v>
      </c>
      <c r="D46" s="15">
        <f>SUMIFS(tblData[Amount],tblData[Company],$A$31,tblData[Fiscal year],D$4,tblData[Standard line item],$A46)</f>
        <v>6782.9</v>
      </c>
      <c r="E46" s="15">
        <f>SUMIFS(tblData[Amount],tblData[Company],$A$31,tblData[Fiscal year],E$4,tblData[Standard line item],$A46)</f>
        <v>7049</v>
      </c>
      <c r="F46" s="15">
        <f>SUMIFS(tblData[Amount],tblData[Company],$A$31,tblData[Fiscal year],F$4,tblData[Standard line item],$A46)</f>
        <v>7101.7</v>
      </c>
      <c r="G46" s="15">
        <f>SUMIFS(tblData[Amount],tblData[Company],$A$31,tblData[Fiscal year],G$4,tblData[Standard line item],$A46)</f>
        <v>7494.3</v>
      </c>
    </row>
    <row r="47" spans="1:7" x14ac:dyDescent="0.35">
      <c r="A47" t="s">
        <v>29</v>
      </c>
      <c r="B47" s="15">
        <f>SUMIFS(tblData[Amount],tblData[Company],$A$31,tblData[Fiscal year],B$4,tblData[Standard line item],$A47)</f>
        <v>6155.4</v>
      </c>
      <c r="C47" s="15">
        <f>SUMIFS(tblData[Amount],tblData[Company],$A$31,tblData[Fiscal year],C$4,tblData[Standard line item],$A47)</f>
        <v>6412.8</v>
      </c>
      <c r="D47" s="15">
        <f>SUMIFS(tblData[Amount],tblData[Company],$A$31,tblData[Fiscal year],D$4,tblData[Standard line item],$A47)</f>
        <v>6618.4</v>
      </c>
      <c r="E47" s="15">
        <f>SUMIFS(tblData[Amount],tblData[Company],$A$31,tblData[Fiscal year],E$4,tblData[Standard line item],$A47)</f>
        <v>6816.3</v>
      </c>
      <c r="F47" s="15">
        <f>SUMIFS(tblData[Amount],tblData[Company],$A$31,tblData[Fiscal year],F$4,tblData[Standard line item],$A47)</f>
        <v>7038.9</v>
      </c>
      <c r="G47" s="15">
        <f>SUMIFS(tblData[Amount],tblData[Company],$A$31,tblData[Fiscal year],G$4,tblData[Standard line item],$A47)</f>
        <v>7045.1</v>
      </c>
    </row>
    <row r="48" spans="1:7" x14ac:dyDescent="0.35">
      <c r="A48" t="s">
        <v>31</v>
      </c>
      <c r="B48" s="15">
        <f>SUMIFS(tblData[Amount],tblData[Company],$A$31,tblData[Fiscal year],B$4,tblData[Standard line item],$A48)</f>
        <v>6142.2</v>
      </c>
      <c r="C48" s="15">
        <f>SUMIFS(tblData[Amount],tblData[Company],$A$31,tblData[Fiscal year],C$4,tblData[Standard line item],$A48)</f>
        <v>6399.9</v>
      </c>
      <c r="D48" s="15">
        <f>SUMIFS(tblData[Amount],tblData[Company],$A$31,tblData[Fiscal year],D$4,tblData[Standard line item],$A48)</f>
        <v>6604.5</v>
      </c>
      <c r="E48" s="15">
        <f>SUMIFS(tblData[Amount],tblData[Company],$A$31,tblData[Fiscal year],E$4,tblData[Standard line item],$A48)</f>
        <v>6801.2</v>
      </c>
      <c r="F48" s="15">
        <f>SUMIFS(tblData[Amount],tblData[Company],$A$31,tblData[Fiscal year],F$4,tblData[Standard line item],$A48)</f>
        <v>7021.7</v>
      </c>
      <c r="G48" s="15">
        <f>SUMIFS(tblData[Amount],tblData[Company],$A$31,tblData[Fiscal year],G$4,tblData[Standard line item],$A48)</f>
        <v>7026.7</v>
      </c>
    </row>
    <row r="49" spans="1:7" x14ac:dyDescent="0.35">
      <c r="A49" t="s">
        <v>33</v>
      </c>
      <c r="B49" s="15">
        <f>SUMIFS(tblData[Amount],tblData[Company],$A$31,tblData[Fiscal year],B$4,tblData[Standard line item],$A49)</f>
        <v>1474.1</v>
      </c>
      <c r="C49" s="15">
        <f>SUMIFS(tblData[Amount],tblData[Company],$A$31,tblData[Fiscal year],C$4,tblData[Standard line item],$A49)</f>
        <v>1583.3</v>
      </c>
      <c r="D49" s="15">
        <f>SUMIFS(tblData[Amount],tblData[Company],$A$31,tblData[Fiscal year],D$4,tblData[Standard line item],$A49)</f>
        <v>1461.4</v>
      </c>
      <c r="E49" s="15">
        <f>SUMIFS(tblData[Amount],tblData[Company],$A$31,tblData[Fiscal year],E$4,tblData[Standard line item],$A49)</f>
        <v>1563.5</v>
      </c>
      <c r="F49" s="15">
        <f>SUMIFS(tblData[Amount],tblData[Company],$A$31,tblData[Fiscal year],F$4,tblData[Standard line item],$A49)</f>
        <v>1677</v>
      </c>
      <c r="G49" s="15">
        <f>SUMIFS(tblData[Amount],tblData[Company],$A$31,tblData[Fiscal year],G$4,tblData[Standard line item],$A49)</f>
        <v>1724.9</v>
      </c>
    </row>
    <row r="50" spans="1:7" x14ac:dyDescent="0.35">
      <c r="A50" t="s">
        <v>36</v>
      </c>
      <c r="B50" s="15">
        <f>SUMIFS(tblData[Amount],tblData[Company],$A$31,tblData[Fiscal year],B$4,tblData[Standard line item],$A50)</f>
        <v>463.3</v>
      </c>
      <c r="C50" s="15">
        <f>SUMIFS(tblData[Amount],tblData[Company],$A$31,tblData[Fiscal year],C$4,tblData[Standard line item],$A50)</f>
        <v>520</v>
      </c>
      <c r="D50" s="15">
        <f>SUMIFS(tblData[Amount],tblData[Company],$A$31,tblData[Fiscal year],D$4,tblData[Standard line item],$A50)</f>
        <v>522.79999999999995</v>
      </c>
      <c r="E50" s="15">
        <f>SUMIFS(tblData[Amount],tblData[Company],$A$31,tblData[Fiscal year],E$4,tblData[Standard line item],$A50)</f>
        <v>597.20000000000005</v>
      </c>
      <c r="F50" s="15">
        <f>SUMIFS(tblData[Amount],tblData[Company],$A$31,tblData[Fiscal year],F$4,tblData[Standard line item],$A50)</f>
        <v>499</v>
      </c>
      <c r="G50" s="15">
        <f>SUMIFS(tblData[Amount],tblData[Company],$A$31,tblData[Fiscal year],G$4,tblData[Standard line item],$A50)</f>
        <v>452.5</v>
      </c>
    </row>
    <row r="51" spans="1:7" x14ac:dyDescent="0.35">
      <c r="A51" t="s">
        <v>38</v>
      </c>
      <c r="B51" s="15">
        <f>SUMIFS(tblData[Amount],tblData[Company],$A$31,tblData[Fiscal year],B$4,tblData[Standard line item],$A51)</f>
        <v>47.4</v>
      </c>
      <c r="C51" s="15">
        <f>SUMIFS(tblData[Amount],tblData[Company],$A$31,tblData[Fiscal year],C$4,tblData[Standard line item],$A51)</f>
        <v>79.3</v>
      </c>
      <c r="D51" s="15">
        <f>SUMIFS(tblData[Amount],tblData[Company],$A$31,tblData[Fiscal year],D$4,tblData[Standard line item],$A51)</f>
        <v>98.2</v>
      </c>
      <c r="E51" s="15">
        <f>SUMIFS(tblData[Amount],tblData[Company],$A$31,tblData[Fiscal year],E$4,tblData[Standard line item],$A51)</f>
        <v>82.7</v>
      </c>
      <c r="F51" s="15">
        <f>SUMIFS(tblData[Amount],tblData[Company],$A$31,tblData[Fiscal year],F$4,tblData[Standard line item],$A51)</f>
        <v>80.7</v>
      </c>
      <c r="G51" s="15">
        <f>SUMIFS(tblData[Amount],tblData[Company],$A$31,tblData[Fiscal year],G$4,tblData[Standard line item],$A51)</f>
        <v>58.1</v>
      </c>
    </row>
    <row r="52" spans="1:7" x14ac:dyDescent="0.35">
      <c r="A52" s="16" t="s">
        <v>126</v>
      </c>
      <c r="B52" s="17">
        <f t="shared" ref="B52:G52" si="6">B50+B51</f>
        <v>510.7</v>
      </c>
      <c r="C52" s="17">
        <f t="shared" si="6"/>
        <v>599.29999999999995</v>
      </c>
      <c r="D52" s="17">
        <f t="shared" si="6"/>
        <v>621</v>
      </c>
      <c r="E52" s="17">
        <f t="shared" si="6"/>
        <v>679.90000000000009</v>
      </c>
      <c r="F52" s="17">
        <f t="shared" si="6"/>
        <v>579.70000000000005</v>
      </c>
      <c r="G52" s="17">
        <f t="shared" si="6"/>
        <v>510.6</v>
      </c>
    </row>
    <row r="53" spans="1:7" x14ac:dyDescent="0.35">
      <c r="A53" t="s">
        <v>40</v>
      </c>
      <c r="B53" s="15">
        <f>SUMIFS(tblData[Amount],tblData[Company],$A$31,tblData[Fiscal year],B$4,tblData[Standard line item],$A53)</f>
        <v>252.9</v>
      </c>
      <c r="C53" s="15">
        <f>SUMIFS(tblData[Amount],tblData[Company],$A$31,tblData[Fiscal year],C$4,tblData[Standard line item],$A53)</f>
        <v>260.89999999999998</v>
      </c>
      <c r="D53" s="15">
        <f>SUMIFS(tblData[Amount],tblData[Company],$A$31,tblData[Fiscal year],D$4,tblData[Standard line item],$A53)</f>
        <v>268</v>
      </c>
      <c r="E53" s="15">
        <f>SUMIFS(tblData[Amount],tblData[Company],$A$31,tblData[Fiscal year],E$4,tblData[Standard line item],$A53)</f>
        <v>269.10000000000002</v>
      </c>
      <c r="F53" s="15">
        <f>SUMIFS(tblData[Amount],tblData[Company],$A$31,tblData[Fiscal year],F$4,tblData[Standard line item],$A53)</f>
        <v>267.8</v>
      </c>
      <c r="G53" s="15">
        <f>SUMIFS(tblData[Amount],tblData[Company],$A$31,tblData[Fiscal year],G$4,tblData[Standard line item],$A53)</f>
        <v>281.7</v>
      </c>
    </row>
    <row r="54" spans="1:7" x14ac:dyDescent="0.35">
      <c r="A54" s="16" t="s">
        <v>127</v>
      </c>
      <c r="B54" s="17">
        <f t="shared" ref="B54:G54" si="7">B49-B52-B53</f>
        <v>710.49999999999989</v>
      </c>
      <c r="C54" s="17">
        <f t="shared" si="7"/>
        <v>723.1</v>
      </c>
      <c r="D54" s="17">
        <f t="shared" si="7"/>
        <v>572.40000000000009</v>
      </c>
      <c r="E54" s="17">
        <f t="shared" si="7"/>
        <v>614.49999999999989</v>
      </c>
      <c r="F54" s="17">
        <f t="shared" si="7"/>
        <v>829.5</v>
      </c>
      <c r="G54" s="17">
        <f t="shared" si="7"/>
        <v>932.60000000000014</v>
      </c>
    </row>
    <row r="55" spans="1:7" x14ac:dyDescent="0.35">
      <c r="A55" t="s">
        <v>128</v>
      </c>
      <c r="B55" s="18">
        <f>_xlfn.XLOOKUP($A$31&amp;"|"&amp;B$4,tblPeriods[Key],tblPeriods[Weeks])</f>
        <v>52</v>
      </c>
      <c r="C55" s="18">
        <f>_xlfn.XLOOKUP($A$31&amp;"|"&amp;C$4,tblPeriods[Key],tblPeriods[Weeks])</f>
        <v>52</v>
      </c>
      <c r="D55" s="18">
        <f>_xlfn.XLOOKUP($A$31&amp;"|"&amp;D$4,tblPeriods[Key],tblPeriods[Weeks])</f>
        <v>52</v>
      </c>
      <c r="E55" s="18">
        <f>_xlfn.XLOOKUP($A$31&amp;"|"&amp;E$4,tblPeriods[Key],tblPeriods[Weeks])</f>
        <v>53</v>
      </c>
      <c r="F55" s="18">
        <f>_xlfn.XLOOKUP($A$31&amp;"|"&amp;F$4,tblPeriods[Key],tblPeriods[Weeks])</f>
        <v>52</v>
      </c>
      <c r="G55" s="18">
        <f>_xlfn.XLOOKUP($A$31&amp;"|"&amp;G$4,tblPeriods[Key],tblPeriods[Weeks])</f>
        <v>52</v>
      </c>
    </row>
    <row r="57" spans="1:7" x14ac:dyDescent="0.35">
      <c r="A57" s="20" t="s">
        <v>61</v>
      </c>
      <c r="B57" s="13"/>
      <c r="C57" s="13"/>
      <c r="D57" s="13"/>
      <c r="E57" s="13"/>
      <c r="F57" s="13"/>
      <c r="G57" s="13"/>
    </row>
    <row r="58" spans="1:7" x14ac:dyDescent="0.35">
      <c r="A58" t="s">
        <v>9</v>
      </c>
      <c r="B58" s="15">
        <f>SUMIFS(tblData[Amount],tblData[Company],$A$57,tblData[Fiscal year],B$4,tblData[Standard line item],$A58)</f>
        <v>26588.2</v>
      </c>
      <c r="C58" s="15">
        <f>SUMIFS(tblData[Amount],tblData[Company],$A$57,tblData[Fiscal year],C$4,tblData[Standard line item],$A58)</f>
        <v>28268.3</v>
      </c>
      <c r="D58" s="15">
        <f>SUMIFS(tblData[Amount],tblData[Company],$A$57,tblData[Fiscal year],D$4,tblData[Standard line item],$A58)</f>
        <v>30162.400000000001</v>
      </c>
      <c r="E58" s="15">
        <f>SUMIFS(tblData[Amount],tblData[Company],$A$57,tblData[Fiscal year],E$4,tblData[Standard line item],$A58)</f>
        <v>30478.1</v>
      </c>
      <c r="F58" s="15">
        <f>SUMIFS(tblData[Amount],tblData[Company],$A$57,tblData[Fiscal year],F$4,tblData[Standard line item],$A58)</f>
        <v>30733</v>
      </c>
      <c r="G58" s="15">
        <f>SUMIFS(tblData[Amount],tblData[Company],$A$57,tblData[Fiscal year],G$4,tblData[Standard line item],$A58)</f>
        <v>31277</v>
      </c>
    </row>
    <row r="59" spans="1:7" x14ac:dyDescent="0.35">
      <c r="A59" t="s">
        <v>12</v>
      </c>
      <c r="B59" s="15">
        <f>SUMIFS(tblData[Amount],tblData[Company],$A$57,tblData[Fiscal year],B$4,tblData[Standard line item],$A59)</f>
        <v>19954.900000000001</v>
      </c>
      <c r="C59" s="15">
        <f>SUMIFS(tblData[Amount],tblData[Company],$A$57,tblData[Fiscal year],C$4,tblData[Standard line item],$A59)</f>
        <v>21069</v>
      </c>
      <c r="D59" s="15">
        <f>SUMIFS(tblData[Amount],tblData[Company],$A$57,tblData[Fiscal year],D$4,tblData[Standard line item],$A59)</f>
        <v>22502.7</v>
      </c>
      <c r="E59" s="15">
        <f>SUMIFS(tblData[Amount],tblData[Company],$A$57,tblData[Fiscal year],E$4,tblData[Standard line item],$A59)</f>
        <v>22685.4</v>
      </c>
      <c r="F59" s="15">
        <f>SUMIFS(tblData[Amount],tblData[Company],$A$57,tblData[Fiscal year],F$4,tblData[Standard line item],$A59)</f>
        <v>22662</v>
      </c>
      <c r="G59" s="15">
        <f>SUMIFS(tblData[Amount],tblData[Company],$A$57,tblData[Fiscal year],G$4,tblData[Standard line item],$A59)</f>
        <v>22895</v>
      </c>
    </row>
    <row r="60" spans="1:7" x14ac:dyDescent="0.35">
      <c r="A60" s="16" t="s">
        <v>124</v>
      </c>
      <c r="B60" s="17">
        <f t="shared" ref="B60:G60" si="8">B58-B59</f>
        <v>6633.2999999999993</v>
      </c>
      <c r="C60" s="17">
        <f t="shared" si="8"/>
        <v>7199.2999999999993</v>
      </c>
      <c r="D60" s="17">
        <f t="shared" si="8"/>
        <v>7659.7000000000007</v>
      </c>
      <c r="E60" s="17">
        <f t="shared" si="8"/>
        <v>7792.6999999999971</v>
      </c>
      <c r="F60" s="17">
        <f t="shared" si="8"/>
        <v>8071</v>
      </c>
      <c r="G60" s="17">
        <f t="shared" si="8"/>
        <v>8382</v>
      </c>
    </row>
    <row r="61" spans="1:7" x14ac:dyDescent="0.35">
      <c r="A61" s="16" t="s">
        <v>125</v>
      </c>
      <c r="B61" s="17">
        <f t="shared" ref="B61:G61" si="9">B63+B62</f>
        <v>1111.8000000000002</v>
      </c>
      <c r="C61" s="17">
        <f t="shared" si="9"/>
        <v>1299.5</v>
      </c>
      <c r="D61" s="17">
        <f t="shared" si="9"/>
        <v>1363.6999999999998</v>
      </c>
      <c r="E61" s="17">
        <f t="shared" si="9"/>
        <v>1232.4000000000001</v>
      </c>
      <c r="F61" s="17">
        <f t="shared" si="9"/>
        <v>1311</v>
      </c>
      <c r="G61" s="17">
        <f t="shared" si="9"/>
        <v>1289</v>
      </c>
    </row>
    <row r="62" spans="1:7" x14ac:dyDescent="0.35">
      <c r="A62" t="s">
        <v>14</v>
      </c>
      <c r="B62" s="15">
        <f>SUMIFS(tblData[Amount],tblData[Company],$A$57,tblData[Fiscal year],B$4,tblData[Standard line item],$A62)</f>
        <v>279.10000000000002</v>
      </c>
      <c r="C62" s="15">
        <f>SUMIFS(tblData[Amount],tblData[Company],$A$57,tblData[Fiscal year],C$4,tblData[Standard line item],$A62)</f>
        <v>269.39999999999998</v>
      </c>
      <c r="D62" s="15">
        <f>SUMIFS(tblData[Amount],tblData[Company],$A$57,tblData[Fiscal year],D$4,tblData[Standard line item],$A62)</f>
        <v>282.10000000000002</v>
      </c>
      <c r="E62" s="15">
        <f>SUMIFS(tblData[Amount],tblData[Company],$A$57,tblData[Fiscal year],E$4,tblData[Standard line item],$A62)</f>
        <v>267</v>
      </c>
      <c r="F62" s="15">
        <f>SUMIFS(tblData[Amount],tblData[Company],$A$57,tblData[Fiscal year],F$4,tblData[Standard line item],$A62)</f>
        <v>282</v>
      </c>
      <c r="G62" s="15">
        <f>SUMIFS(tblData[Amount],tblData[Company],$A$57,tblData[Fiscal year],G$4,tblData[Standard line item],$A62)</f>
        <v>294</v>
      </c>
    </row>
    <row r="63" spans="1:7" x14ac:dyDescent="0.35">
      <c r="A63" t="s">
        <v>15</v>
      </c>
      <c r="B63" s="15">
        <f>SUMIFS(tblData[Amount],tblData[Company],$A$57,tblData[Fiscal year],B$4,tblData[Standard line item],$A63)</f>
        <v>832.7</v>
      </c>
      <c r="C63" s="15">
        <f>SUMIFS(tblData[Amount],tblData[Company],$A$57,tblData[Fiscal year],C$4,tblData[Standard line item],$A63)</f>
        <v>1030.0999999999999</v>
      </c>
      <c r="D63" s="15">
        <f>SUMIFS(tblData[Amount],tblData[Company],$A$57,tblData[Fiscal year],D$4,tblData[Standard line item],$A63)</f>
        <v>1081.5999999999999</v>
      </c>
      <c r="E63" s="15">
        <f>SUMIFS(tblData[Amount],tblData[Company],$A$57,tblData[Fiscal year],E$4,tblData[Standard line item],$A63)</f>
        <v>965.4</v>
      </c>
      <c r="F63" s="15">
        <f>SUMIFS(tblData[Amount],tblData[Company],$A$57,tblData[Fiscal year],F$4,tblData[Standard line item],$A63)</f>
        <v>1029</v>
      </c>
      <c r="G63" s="15">
        <f>SUMIFS(tblData[Amount],tblData[Company],$A$57,tblData[Fiscal year],G$4,tblData[Standard line item],$A63)</f>
        <v>995</v>
      </c>
    </row>
    <row r="64" spans="1:7" x14ac:dyDescent="0.35">
      <c r="A64" t="s">
        <v>16</v>
      </c>
      <c r="B64" s="15">
        <f>SUMIFS(tblData[Amount],tblData[Company],$A$57,tblData[Fiscal year],B$4,tblData[Standard line item],$A64)</f>
        <v>219.9</v>
      </c>
      <c r="C64" s="15">
        <f>SUMIFS(tblData[Amount],tblData[Company],$A$57,tblData[Fiscal year],C$4,tblData[Standard line item],$A64)</f>
        <v>265.89999999999998</v>
      </c>
      <c r="D64" s="15">
        <f>SUMIFS(tblData[Amount],tblData[Company],$A$57,tblData[Fiscal year],D$4,tblData[Standard line item],$A64)</f>
        <v>270.3</v>
      </c>
      <c r="E64" s="15">
        <f>SUMIFS(tblData[Amount],tblData[Company],$A$57,tblData[Fiscal year],E$4,tblData[Standard line item],$A64)</f>
        <v>237.7</v>
      </c>
      <c r="F64" s="15">
        <f>SUMIFS(tblData[Amount],tblData[Company],$A$57,tblData[Fiscal year],F$4,tblData[Standard line item],$A64)</f>
        <v>266</v>
      </c>
      <c r="G64" s="15">
        <f>SUMIFS(tblData[Amount],tblData[Company],$A$57,tblData[Fiscal year],G$4,tblData[Standard line item],$A64)</f>
        <v>249</v>
      </c>
    </row>
    <row r="65" spans="1:7" x14ac:dyDescent="0.35">
      <c r="A65" t="s">
        <v>18</v>
      </c>
      <c r="B65" s="15">
        <f>SUMIFS(tblData[Amount],tblData[Company],$A$57,tblData[Fiscal year],B$4,tblData[Standard line item],$A65)</f>
        <v>0</v>
      </c>
      <c r="C65" s="15">
        <f>SUMIFS(tblData[Amount],tblData[Company],$A$57,tblData[Fiscal year],C$4,tblData[Standard line item],$A65)</f>
        <v>0</v>
      </c>
      <c r="D65" s="15">
        <f>SUMIFS(tblData[Amount],tblData[Company],$A$57,tblData[Fiscal year],D$4,tblData[Standard line item],$A65)</f>
        <v>0</v>
      </c>
      <c r="E65" s="15">
        <f>SUMIFS(tblData[Amount],tblData[Company],$A$57,tblData[Fiscal year],E$4,tblData[Standard line item],$A65)</f>
        <v>0</v>
      </c>
      <c r="F65" s="15">
        <f>SUMIFS(tblData[Amount],tblData[Company],$A$57,tblData[Fiscal year],F$4,tblData[Standard line item],$A65)</f>
        <v>0</v>
      </c>
      <c r="G65" s="15">
        <f>SUMIFS(tblData[Amount],tblData[Company],$A$57,tblData[Fiscal year],G$4,tblData[Standard line item],$A65)</f>
        <v>0</v>
      </c>
    </row>
    <row r="66" spans="1:7" x14ac:dyDescent="0.35">
      <c r="A66" t="s">
        <v>20</v>
      </c>
      <c r="B66" s="15">
        <f>SUMIFS(tblData[Amount],tblData[Company],$A$57,tblData[Fiscal year],B$4,tblData[Standard line item],$A66)</f>
        <v>612.79999999999995</v>
      </c>
      <c r="C66" s="15">
        <f>SUMIFS(tblData[Amount],tblData[Company],$A$57,tblData[Fiscal year],C$4,tblData[Standard line item],$A66)</f>
        <v>764.2</v>
      </c>
      <c r="D66" s="15">
        <f>SUMIFS(tblData[Amount],tblData[Company],$A$57,tblData[Fiscal year],D$4,tblData[Standard line item],$A66)</f>
        <v>811.3</v>
      </c>
      <c r="E66" s="15">
        <f>SUMIFS(tblData[Amount],tblData[Company],$A$57,tblData[Fiscal year],E$4,tblData[Standard line item],$A66)</f>
        <v>727.7</v>
      </c>
      <c r="F66" s="15">
        <f>SUMIFS(tblData[Amount],tblData[Company],$A$57,tblData[Fiscal year],F$4,tblData[Standard line item],$A66)</f>
        <v>763</v>
      </c>
      <c r="G66" s="15">
        <f>SUMIFS(tblData[Amount],tblData[Company],$A$57,tblData[Fiscal year],G$4,tblData[Standard line item],$A66)</f>
        <v>746</v>
      </c>
    </row>
    <row r="67" spans="1:7" x14ac:dyDescent="0.35">
      <c r="A67" t="s">
        <v>22</v>
      </c>
      <c r="B67" s="15">
        <f>SUMIFS(tblData[Amount],tblData[Company],$A$57,tblData[Fiscal year],B$4,tblData[Standard line item],$A67)</f>
        <v>583.5</v>
      </c>
      <c r="C67" s="15">
        <f>SUMIFS(tblData[Amount],tblData[Company],$A$57,tblData[Fiscal year],C$4,tblData[Standard line item],$A67)</f>
        <v>701.5</v>
      </c>
      <c r="D67" s="15">
        <f>SUMIFS(tblData[Amount],tblData[Company],$A$57,tblData[Fiscal year],D$4,tblData[Standard line item],$A67)</f>
        <v>745.8</v>
      </c>
      <c r="E67" s="15">
        <f>SUMIFS(tblData[Amount],tblData[Company],$A$57,tblData[Fiscal year],E$4,tblData[Standard line item],$A67)</f>
        <v>686</v>
      </c>
      <c r="F67" s="15">
        <f>SUMIFS(tblData[Amount],tblData[Company],$A$57,tblData[Fiscal year],F$4,tblData[Standard line item],$A67)</f>
        <v>726</v>
      </c>
      <c r="G67" s="15">
        <f>SUMIFS(tblData[Amount],tblData[Company],$A$57,tblData[Fiscal year],G$4,tblData[Standard line item],$A67)</f>
        <v>700</v>
      </c>
    </row>
    <row r="68" spans="1:7" x14ac:dyDescent="0.35">
      <c r="A68" t="s">
        <v>23</v>
      </c>
      <c r="B68" s="15">
        <f>SUMIFS(tblData[Amount],tblData[Company],$A$57,tblData[Fiscal year],B$4,tblData[Standard line item],$A68)</f>
        <v>1489.4</v>
      </c>
      <c r="C68" s="15">
        <f>SUMIFS(tblData[Amount],tblData[Company],$A$57,tblData[Fiscal year],C$4,tblData[Standard line item],$A68)</f>
        <v>1500.1</v>
      </c>
      <c r="D68" s="15">
        <f>SUMIFS(tblData[Amount],tblData[Company],$A$57,tblData[Fiscal year],D$4,tblData[Standard line item],$A68)</f>
        <v>1591.5</v>
      </c>
      <c r="E68" s="15">
        <f>SUMIFS(tblData[Amount],tblData[Company],$A$57,tblData[Fiscal year],E$4,tblData[Standard line item],$A68)</f>
        <v>1743.3</v>
      </c>
      <c r="F68" s="15">
        <f>SUMIFS(tblData[Amount],tblData[Company],$A$57,tblData[Fiscal year],F$4,tblData[Standard line item],$A68)</f>
        <v>1772</v>
      </c>
      <c r="G68" s="15">
        <f>SUMIFS(tblData[Amount],tblData[Company],$A$57,tblData[Fiscal year],G$4,tblData[Standard line item],$A68)</f>
        <v>1833</v>
      </c>
    </row>
    <row r="69" spans="1:7" x14ac:dyDescent="0.35">
      <c r="A69" t="s">
        <v>25</v>
      </c>
      <c r="B69" s="15">
        <f>SUMIFS(tblData[Amount],tblData[Company],$A$57,tblData[Fiscal year],B$4,tblData[Standard line item],$A69)</f>
        <v>3255.5</v>
      </c>
      <c r="C69" s="15">
        <f>SUMIFS(tblData[Amount],tblData[Company],$A$57,tblData[Fiscal year],C$4,tblData[Standard line item],$A69)</f>
        <v>3193.5</v>
      </c>
      <c r="D69" s="15">
        <f>SUMIFS(tblData[Amount],tblData[Company],$A$57,tblData[Fiscal year],D$4,tblData[Standard line item],$A69)</f>
        <v>3212.7</v>
      </c>
      <c r="E69" s="15">
        <f>SUMIFS(tblData[Amount],tblData[Company],$A$57,tblData[Fiscal year],E$4,tblData[Standard line item],$A69)</f>
        <v>2955</v>
      </c>
      <c r="F69" s="15">
        <f>SUMIFS(tblData[Amount],tblData[Company],$A$57,tblData[Fiscal year],F$4,tblData[Standard line item],$A69)</f>
        <v>3104</v>
      </c>
      <c r="G69" s="15">
        <f>SUMIFS(tblData[Amount],tblData[Company],$A$57,tblData[Fiscal year],G$4,tblData[Standard line item],$A69)</f>
        <v>3134</v>
      </c>
    </row>
    <row r="70" spans="1:7" x14ac:dyDescent="0.35">
      <c r="A70" t="s">
        <v>26</v>
      </c>
      <c r="B70" s="15">
        <f>SUMIFS(tblData[Amount],tblData[Company],$A$57,tblData[Fiscal year],B$4,tblData[Standard line item],$A70)</f>
        <v>14632.9</v>
      </c>
      <c r="C70" s="15">
        <f>SUMIFS(tblData[Amount],tblData[Company],$A$57,tblData[Fiscal year],C$4,tblData[Standard line item],$A70)</f>
        <v>15173.9</v>
      </c>
      <c r="D70" s="15">
        <f>SUMIFS(tblData[Amount],tblData[Company],$A$57,tblData[Fiscal year],D$4,tblData[Standard line item],$A70)</f>
        <v>16593.599999999999</v>
      </c>
      <c r="E70" s="15">
        <f>SUMIFS(tblData[Amount],tblData[Company],$A$57,tblData[Fiscal year],E$4,tblData[Standard line item],$A70)</f>
        <v>16483.7</v>
      </c>
      <c r="F70" s="15">
        <f>SUMIFS(tblData[Amount],tblData[Company],$A$57,tblData[Fiscal year],F$4,tblData[Standard line item],$A70)</f>
        <v>16790</v>
      </c>
      <c r="G70" s="15">
        <f>SUMIFS(tblData[Amount],tblData[Company],$A$57,tblData[Fiscal year],G$4,tblData[Standard line item],$A70)</f>
        <v>17019</v>
      </c>
    </row>
    <row r="71" spans="1:7" x14ac:dyDescent="0.35">
      <c r="A71" t="s">
        <v>27</v>
      </c>
      <c r="B71" s="15">
        <f>SUMIFS(tblData[Amount],tblData[Company],$A$57,tblData[Fiscal year],B$4,tblData[Standard line item],$A71)</f>
        <v>4060</v>
      </c>
      <c r="C71" s="15">
        <f>SUMIFS(tblData[Amount],tblData[Company],$A$57,tblData[Fiscal year],C$4,tblData[Standard line item],$A71)</f>
        <v>3488.2</v>
      </c>
      <c r="D71" s="15">
        <f>SUMIFS(tblData[Amount],tblData[Company],$A$57,tblData[Fiscal year],D$4,tblData[Standard line item],$A71)</f>
        <v>4239.7</v>
      </c>
      <c r="E71" s="15">
        <f>SUMIFS(tblData[Amount],tblData[Company],$A$57,tblData[Fiscal year],E$4,tblData[Standard line item],$A71)</f>
        <v>3857.5</v>
      </c>
      <c r="F71" s="15">
        <f>SUMIFS(tblData[Amount],tblData[Company],$A$57,tblData[Fiscal year],F$4,tblData[Standard line item],$A71)</f>
        <v>3891</v>
      </c>
      <c r="G71" s="15">
        <f>SUMIFS(tblData[Amount],tblData[Company],$A$57,tblData[Fiscal year],G$4,tblData[Standard line item],$A71)</f>
        <v>4096</v>
      </c>
    </row>
    <row r="72" spans="1:7" x14ac:dyDescent="0.35">
      <c r="A72" t="s">
        <v>28</v>
      </c>
      <c r="B72" s="15">
        <f>SUMIFS(tblData[Amount],tblData[Company],$A$57,tblData[Fiscal year],B$4,tblData[Standard line item],$A72)</f>
        <v>10619</v>
      </c>
      <c r="C72" s="15">
        <f>SUMIFS(tblData[Amount],tblData[Company],$A$57,tblData[Fiscal year],C$4,tblData[Standard line item],$A72)</f>
        <v>10675.9</v>
      </c>
      <c r="D72" s="15">
        <f>SUMIFS(tblData[Amount],tblData[Company],$A$57,tblData[Fiscal year],D$4,tblData[Standard line item],$A72)</f>
        <v>11459.7</v>
      </c>
      <c r="E72" s="15">
        <f>SUMIFS(tblData[Amount],tblData[Company],$A$57,tblData[Fiscal year],E$4,tblData[Standard line item],$A72)</f>
        <v>11147</v>
      </c>
      <c r="F72" s="15">
        <f>SUMIFS(tblData[Amount],tblData[Company],$A$57,tblData[Fiscal year],F$4,tblData[Standard line item],$A72)</f>
        <v>11321</v>
      </c>
      <c r="G72" s="15">
        <f>SUMIFS(tblData[Amount],tblData[Company],$A$57,tblData[Fiscal year],G$4,tblData[Standard line item],$A72)</f>
        <v>11475</v>
      </c>
    </row>
    <row r="73" spans="1:7" x14ac:dyDescent="0.35">
      <c r="A73" t="s">
        <v>29</v>
      </c>
      <c r="B73" s="15">
        <f>SUMIFS(tblData[Amount],tblData[Company],$A$57,tblData[Fiscal year],B$4,tblData[Standard line item],$A73)</f>
        <v>4013.9</v>
      </c>
      <c r="C73" s="15">
        <f>SUMIFS(tblData[Amount],tblData[Company],$A$57,tblData[Fiscal year],C$4,tblData[Standard line item],$A73)</f>
        <v>4498</v>
      </c>
      <c r="D73" s="15">
        <f>SUMIFS(tblData[Amount],tblData[Company],$A$57,tblData[Fiscal year],D$4,tblData[Standard line item],$A73)</f>
        <v>5133.8999999999996</v>
      </c>
      <c r="E73" s="15">
        <f>SUMIFS(tblData[Amount],tblData[Company],$A$57,tblData[Fiscal year],E$4,tblData[Standard line item],$A73)</f>
        <v>5336.7</v>
      </c>
      <c r="F73" s="15">
        <f>SUMIFS(tblData[Amount],tblData[Company],$A$57,tblData[Fiscal year],F$4,tblData[Standard line item],$A73)</f>
        <v>5469</v>
      </c>
      <c r="G73" s="15">
        <f>SUMIFS(tblData[Amount],tblData[Company],$A$57,tblData[Fiscal year],G$4,tblData[Standard line item],$A73)</f>
        <v>5544</v>
      </c>
    </row>
    <row r="74" spans="1:7" x14ac:dyDescent="0.35">
      <c r="A74" t="s">
        <v>31</v>
      </c>
      <c r="B74" s="15">
        <f>SUMIFS(tblData[Amount],tblData[Company],$A$57,tblData[Fiscal year],B$4,tblData[Standard line item],$A74)</f>
        <v>3924.6</v>
      </c>
      <c r="C74" s="15">
        <f>SUMIFS(tblData[Amount],tblData[Company],$A$57,tblData[Fiscal year],C$4,tblData[Standard line item],$A74)</f>
        <v>4372.7</v>
      </c>
      <c r="D74" s="15">
        <f>SUMIFS(tblData[Amount],tblData[Company],$A$57,tblData[Fiscal year],D$4,tblData[Standard line item],$A74)</f>
        <v>4991.5</v>
      </c>
      <c r="E74" s="15">
        <f>SUMIFS(tblData[Amount],tblData[Company],$A$57,tblData[Fiscal year],E$4,tblData[Standard line item],$A74)</f>
        <v>5200.3999999999996</v>
      </c>
      <c r="F74" s="15">
        <f>SUMIFS(tblData[Amount],tblData[Company],$A$57,tblData[Fiscal year],F$4,tblData[Standard line item],$A74)</f>
        <v>5341</v>
      </c>
      <c r="G74" s="15">
        <f>SUMIFS(tblData[Amount],tblData[Company],$A$57,tblData[Fiscal year],G$4,tblData[Standard line item],$A74)</f>
        <v>5410</v>
      </c>
    </row>
    <row r="75" spans="1:7" x14ac:dyDescent="0.35">
      <c r="A75" t="s">
        <v>33</v>
      </c>
      <c r="B75" s="15">
        <f>SUMIFS(tblData[Amount],tblData[Company],$A$57,tblData[Fiscal year],B$4,tblData[Standard line item],$A75)</f>
        <v>2089.4</v>
      </c>
      <c r="C75" s="15">
        <f>SUMIFS(tblData[Amount],tblData[Company],$A$57,tblData[Fiscal year],C$4,tblData[Standard line item],$A75)</f>
        <v>1859.6</v>
      </c>
      <c r="D75" s="15">
        <f>SUMIFS(tblData[Amount],tblData[Company],$A$57,tblData[Fiscal year],D$4,tblData[Standard line item],$A75)</f>
        <v>2107.1</v>
      </c>
      <c r="E75" s="15">
        <f>SUMIFS(tblData[Amount],tblData[Company],$A$57,tblData[Fiscal year],E$4,tblData[Standard line item],$A75)</f>
        <v>1605.3</v>
      </c>
      <c r="F75" s="15">
        <f>SUMIFS(tblData[Amount],tblData[Company],$A$57,tblData[Fiscal year],F$4,tblData[Standard line item],$A75)</f>
        <v>2073</v>
      </c>
      <c r="G75" s="15">
        <f>SUMIFS(tblData[Amount],tblData[Company],$A$57,tblData[Fiscal year],G$4,tblData[Standard line item],$A75)</f>
        <v>2127</v>
      </c>
    </row>
    <row r="76" spans="1:7" x14ac:dyDescent="0.35">
      <c r="A76" t="s">
        <v>36</v>
      </c>
      <c r="B76" s="15">
        <f>SUMIFS(tblData[Amount],tblData[Company],$A$57,tblData[Fiscal year],B$4,tblData[Standard line item],$A76)</f>
        <v>548.79999999999995</v>
      </c>
      <c r="C76" s="15">
        <f>SUMIFS(tblData[Amount],tblData[Company],$A$57,tblData[Fiscal year],C$4,tblData[Standard line item],$A76)</f>
        <v>566.29999999999995</v>
      </c>
      <c r="D76" s="15">
        <f>SUMIFS(tblData[Amount],tblData[Company],$A$57,tblData[Fiscal year],D$4,tblData[Standard line item],$A76)</f>
        <v>633</v>
      </c>
      <c r="E76" s="15">
        <f>SUMIFS(tblData[Amount],tblData[Company],$A$57,tblData[Fiscal year],E$4,tblData[Standard line item],$A76)</f>
        <v>574.20000000000005</v>
      </c>
      <c r="F76" s="15">
        <f>SUMIFS(tblData[Amount],tblData[Company],$A$57,tblData[Fiscal year],F$4,tblData[Standard line item],$A76)</f>
        <v>705</v>
      </c>
      <c r="G76" s="15">
        <f>SUMIFS(tblData[Amount],tblData[Company],$A$57,tblData[Fiscal year],G$4,tblData[Standard line item],$A76)</f>
        <v>640</v>
      </c>
    </row>
    <row r="77" spans="1:7" x14ac:dyDescent="0.35">
      <c r="A77" t="s">
        <v>38</v>
      </c>
      <c r="B77" s="15">
        <f>SUMIFS(tblData[Amount],tblData[Company],$A$57,tblData[Fiscal year],B$4,tblData[Standard line item],$A77)</f>
        <v>69</v>
      </c>
      <c r="C77" s="15">
        <f>SUMIFS(tblData[Amount],tblData[Company],$A$57,tblData[Fiscal year],C$4,tblData[Standard line item],$A77)</f>
        <v>92.8</v>
      </c>
      <c r="D77" s="15">
        <f>SUMIFS(tblData[Amount],tblData[Company],$A$57,tblData[Fiscal year],D$4,tblData[Standard line item],$A77)</f>
        <v>147.30000000000001</v>
      </c>
      <c r="E77" s="15">
        <f>SUMIFS(tblData[Amount],tblData[Company],$A$57,tblData[Fiscal year],E$4,tblData[Standard line item],$A77)</f>
        <v>183.5</v>
      </c>
      <c r="F77" s="15">
        <f>SUMIFS(tblData[Amount],tblData[Company],$A$57,tblData[Fiscal year],F$4,tblData[Standard line item],$A77)</f>
        <v>94</v>
      </c>
      <c r="G77" s="15">
        <f>SUMIFS(tblData[Amount],tblData[Company],$A$57,tblData[Fiscal year],G$4,tblData[Standard line item],$A77)</f>
        <v>137</v>
      </c>
    </row>
    <row r="78" spans="1:7" x14ac:dyDescent="0.35">
      <c r="A78" s="16" t="s">
        <v>126</v>
      </c>
      <c r="B78" s="17">
        <f t="shared" ref="B78:G78" si="10">B76+B77</f>
        <v>617.79999999999995</v>
      </c>
      <c r="C78" s="17">
        <f t="shared" si="10"/>
        <v>659.09999999999991</v>
      </c>
      <c r="D78" s="17">
        <f t="shared" si="10"/>
        <v>780.3</v>
      </c>
      <c r="E78" s="17">
        <f t="shared" si="10"/>
        <v>757.7</v>
      </c>
      <c r="F78" s="17">
        <f t="shared" si="10"/>
        <v>799</v>
      </c>
      <c r="G78" s="17">
        <f t="shared" si="10"/>
        <v>777</v>
      </c>
    </row>
    <row r="79" spans="1:7" x14ac:dyDescent="0.35">
      <c r="A79" t="s">
        <v>40</v>
      </c>
      <c r="B79" s="15">
        <f>SUMIFS(tblData[Amount],tblData[Company],$A$57,tblData[Fiscal year],B$4,tblData[Standard line item],$A79)</f>
        <v>392.1</v>
      </c>
      <c r="C79" s="15">
        <f>SUMIFS(tblData[Amount],tblData[Company],$A$57,tblData[Fiscal year],C$4,tblData[Standard line item],$A79)</f>
        <v>420.1</v>
      </c>
      <c r="D79" s="15">
        <f>SUMIFS(tblData[Amount],tblData[Company],$A$57,tblData[Fiscal year],D$4,tblData[Standard line item],$A79)</f>
        <v>482.8</v>
      </c>
      <c r="E79" s="15">
        <f>SUMIFS(tblData[Amount],tblData[Company],$A$57,tblData[Fiscal year],E$4,tblData[Standard line item],$A79)</f>
        <v>507.6</v>
      </c>
      <c r="F79" s="15">
        <f>SUMIFS(tblData[Amount],tblData[Company],$A$57,tblData[Fiscal year],F$4,tblData[Standard line item],$A79)</f>
        <v>527</v>
      </c>
      <c r="G79" s="15">
        <f>SUMIFS(tblData[Amount],tblData[Company],$A$57,tblData[Fiscal year],G$4,tblData[Standard line item],$A79)</f>
        <v>548</v>
      </c>
    </row>
    <row r="80" spans="1:7" x14ac:dyDescent="0.35">
      <c r="A80" s="16" t="s">
        <v>127</v>
      </c>
      <c r="B80" s="17">
        <f t="shared" ref="B80:G80" si="11">B75-B78-B79</f>
        <v>1079.5</v>
      </c>
      <c r="C80" s="17">
        <f t="shared" si="11"/>
        <v>780.4</v>
      </c>
      <c r="D80" s="17">
        <f t="shared" si="11"/>
        <v>844</v>
      </c>
      <c r="E80" s="17">
        <f t="shared" si="11"/>
        <v>339.99999999999989</v>
      </c>
      <c r="F80" s="17">
        <f t="shared" si="11"/>
        <v>747</v>
      </c>
      <c r="G80" s="17">
        <f t="shared" si="11"/>
        <v>802</v>
      </c>
    </row>
    <row r="81" spans="1:7" x14ac:dyDescent="0.35">
      <c r="A81" t="s">
        <v>128</v>
      </c>
      <c r="B81" s="18">
        <f>_xlfn.XLOOKUP($A$57&amp;"|"&amp;B$4,tblPeriods[Key],tblPeriods[Weeks])</f>
        <v>52</v>
      </c>
      <c r="C81" s="18">
        <f>_xlfn.XLOOKUP($A$57&amp;"|"&amp;C$4,tblPeriods[Key],tblPeriods[Weeks])</f>
        <v>52</v>
      </c>
      <c r="D81" s="18">
        <f>_xlfn.XLOOKUP($A$57&amp;"|"&amp;D$4,tblPeriods[Key],tblPeriods[Weeks])</f>
        <v>53</v>
      </c>
      <c r="E81" s="18">
        <f>_xlfn.XLOOKUP($A$57&amp;"|"&amp;E$4,tblPeriods[Key],tblPeriods[Weeks])</f>
        <v>52</v>
      </c>
      <c r="F81" s="18">
        <f>_xlfn.XLOOKUP($A$57&amp;"|"&amp;F$4,tblPeriods[Key],tblPeriods[Weeks])</f>
        <v>52</v>
      </c>
      <c r="G81" s="18">
        <f>_xlfn.XLOOKUP($A$57&amp;"|"&amp;G$4,tblPeriods[Key],tblPeriods[Weeks])</f>
        <v>52</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1933-88B5-450E-89BD-31285B46839A}">
  <dimension ref="A1:G54"/>
  <sheetViews>
    <sheetView workbookViewId="0"/>
  </sheetViews>
  <sheetFormatPr defaultRowHeight="14.5" x14ac:dyDescent="0.35"/>
  <cols>
    <col min="1" max="1" width="36.6328125" customWidth="1"/>
    <col min="2" max="6" width="18.6328125" customWidth="1"/>
    <col min="7" max="7" width="30.6328125" customWidth="1"/>
  </cols>
  <sheetData>
    <row r="1" spans="1:6" ht="21" x14ac:dyDescent="0.35">
      <c r="A1" s="1" t="s">
        <v>158</v>
      </c>
    </row>
    <row r="2" spans="1:6" x14ac:dyDescent="0.35">
      <c r="A2" s="3" t="s">
        <v>159</v>
      </c>
    </row>
    <row r="4" spans="1:6" x14ac:dyDescent="0.35">
      <c r="A4" s="11" t="s">
        <v>160</v>
      </c>
      <c r="B4" s="40">
        <v>2021</v>
      </c>
      <c r="C4" s="40">
        <v>2022</v>
      </c>
      <c r="D4" s="40">
        <v>2023</v>
      </c>
      <c r="E4" s="40">
        <v>2024</v>
      </c>
      <c r="F4" s="40">
        <v>2025</v>
      </c>
    </row>
    <row r="5" spans="1:6" x14ac:dyDescent="0.35">
      <c r="A5" s="14" t="s">
        <v>8</v>
      </c>
      <c r="B5" s="41"/>
      <c r="C5" s="41"/>
      <c r="D5" s="41"/>
      <c r="E5" s="41"/>
      <c r="F5" s="41"/>
    </row>
    <row r="6" spans="1:6" x14ac:dyDescent="0.35">
      <c r="A6" t="s">
        <v>9</v>
      </c>
      <c r="B6" s="42">
        <f>IFERROR(Model!C6/Model!B6-1,"")</f>
        <v>8.6504533899913749E-3</v>
      </c>
      <c r="C6" s="42">
        <f>IFERROR(Model!D6/Model!C6-1,"")</f>
        <v>6.270453263118303E-2</v>
      </c>
      <c r="D6" s="42">
        <f>IFERROR(Model!E6/Model!D6-1,"")</f>
        <v>5.3536032847232073E-2</v>
      </c>
      <c r="E6" s="42">
        <f>IFERROR(Model!F6/Model!E6-1,"")</f>
        <v>9.9783298896336525E-3</v>
      </c>
      <c r="F6" s="42">
        <f>IFERROR(Model!G6/Model!F6-1,"")</f>
        <v>6.287111421585756E-2</v>
      </c>
    </row>
    <row r="7" spans="1:6" x14ac:dyDescent="0.35">
      <c r="A7" t="s">
        <v>12</v>
      </c>
      <c r="B7" s="42">
        <f>IFERROR(Model!C7/Model!B7-1,"")</f>
        <v>-7.8692988427501165E-3</v>
      </c>
      <c r="C7" s="42">
        <f>IFERROR(Model!D7/Model!C7-1,"")</f>
        <v>5.7415742672082493E-2</v>
      </c>
      <c r="D7" s="42">
        <f>IFERROR(Model!E7/Model!D7-1,"")</f>
        <v>5.0975913621262414E-2</v>
      </c>
      <c r="E7" s="42">
        <f>IFERROR(Model!F7/Model!E7-1,"")</f>
        <v>1.9658204089696651E-2</v>
      </c>
      <c r="F7" s="42">
        <f>IFERROR(Model!G7/Model!F7-1,"")</f>
        <v>6.2560550280953198E-2</v>
      </c>
    </row>
    <row r="8" spans="1:6" x14ac:dyDescent="0.35">
      <c r="A8" t="s">
        <v>124</v>
      </c>
      <c r="B8" s="42">
        <f>IFERROR(Model!C8/Model!B8-1,"")</f>
        <v>4.6594533741947552E-2</v>
      </c>
      <c r="C8" s="42">
        <f>IFERROR(Model!D8/Model!C8-1,"")</f>
        <v>7.4220150591609801E-2</v>
      </c>
      <c r="D8" s="42">
        <f>IFERROR(Model!E8/Model!D8-1,"")</f>
        <v>5.9023141967067261E-2</v>
      </c>
      <c r="E8" s="42">
        <f>IFERROR(Model!F8/Model!E8-1,"")</f>
        <v>-1.0610915585438918E-2</v>
      </c>
      <c r="F8" s="42">
        <f>IFERROR(Model!G8/Model!F8-1,"")</f>
        <v>6.3551898062118362E-2</v>
      </c>
    </row>
    <row r="9" spans="1:6" x14ac:dyDescent="0.35">
      <c r="A9" t="s">
        <v>125</v>
      </c>
      <c r="B9" s="42">
        <f>IFERROR(Model!C9/Model!B9-1,"")</f>
        <v>0.24186046511627901</v>
      </c>
      <c r="C9" s="42">
        <f>IFERROR(Model!D9/Model!C9-1,"")</f>
        <v>0.13789581205311552</v>
      </c>
      <c r="D9" s="42">
        <f>IFERROR(Model!E9/Model!D9-1,"")</f>
        <v>0.10831837223219631</v>
      </c>
      <c r="E9" s="42">
        <f>IFERROR(Model!F9/Model!E9-1,"")</f>
        <v>-6.2095032397408212E-2</v>
      </c>
      <c r="F9" s="42">
        <f>IFERROR(Model!G9/Model!F9-1,"")</f>
        <v>0.27345998848589526</v>
      </c>
    </row>
    <row r="10" spans="1:6" x14ac:dyDescent="0.35">
      <c r="A10" t="s">
        <v>14</v>
      </c>
      <c r="B10" s="42">
        <f>IFERROR(Model!C10/Model!B10-1,"")</f>
        <v>-0.3328840970350404</v>
      </c>
      <c r="C10" s="42">
        <f>IFERROR(Model!D10/Model!C10-1,"")</f>
        <v>0.3797979797979798</v>
      </c>
      <c r="D10" s="42">
        <f>IFERROR(Model!E10/Model!D10-1,"")</f>
        <v>0.17569546120058566</v>
      </c>
      <c r="E10" s="42">
        <f>IFERROR(Model!F10/Model!E10-1,"")</f>
        <v>-0.14943960149439606</v>
      </c>
      <c r="F10" s="42">
        <f>IFERROR(Model!G10/Model!F10-1,"")</f>
        <v>8.6383601756954587E-2</v>
      </c>
    </row>
    <row r="11" spans="1:6" x14ac:dyDescent="0.35">
      <c r="A11" t="s">
        <v>15</v>
      </c>
      <c r="B11" s="42">
        <f>IFERROR(Model!C11/Model!B11-1,"")</f>
        <v>0.50462107208872453</v>
      </c>
      <c r="C11" s="42">
        <f>IFERROR(Model!D11/Model!C11-1,"")</f>
        <v>8.8861588861588903E-2</v>
      </c>
      <c r="D11" s="42">
        <f>IFERROR(Model!E11/Model!D11-1,"")</f>
        <v>9.1011658518239891E-2</v>
      </c>
      <c r="E11" s="42">
        <f>IFERROR(Model!F11/Model!E11-1,"")</f>
        <v>-3.791795932437092E-2</v>
      </c>
      <c r="F11" s="42">
        <f>IFERROR(Model!G11/Model!F11-1,"")</f>
        <v>0.31924041562164107</v>
      </c>
    </row>
    <row r="12" spans="1:6" x14ac:dyDescent="0.35">
      <c r="A12" t="s">
        <v>16</v>
      </c>
      <c r="B12" s="42">
        <f>IFERROR(Model!C12/Model!B12-1,"")</f>
        <v>8.1206496519721671E-2</v>
      </c>
      <c r="C12" s="42">
        <f>IFERROR(Model!D12/Model!C12-1,"")</f>
        <v>0.42703862660944214</v>
      </c>
      <c r="D12" s="42">
        <f>IFERROR(Model!E12/Model!D12-1,"")</f>
        <v>7.3684210526315796E-2</v>
      </c>
      <c r="E12" s="42">
        <f>IFERROR(Model!F12/Model!E12-1,"")</f>
        <v>2.3809523809523725E-2</v>
      </c>
      <c r="F12" s="42">
        <f>IFERROR(Model!G12/Model!F12-1,"")</f>
        <v>0.47742818057455549</v>
      </c>
    </row>
    <row r="13" spans="1:6" x14ac:dyDescent="0.35">
      <c r="A13" t="s">
        <v>20</v>
      </c>
      <c r="B13" s="42">
        <f>IFERROR(Model!C14/Model!B14-1,"")</f>
        <v>0.65771812080536907</v>
      </c>
      <c r="C13" s="42">
        <f>IFERROR(Model!D14/Model!C14-1,"")</f>
        <v>9.109311740890691E-3</v>
      </c>
      <c r="D13" s="42">
        <f>IFERROR(Model!E14/Model!D14-1,"")</f>
        <v>9.679037111333999E-2</v>
      </c>
      <c r="E13" s="42">
        <f>IFERROR(Model!F14/Model!E14-1,"")</f>
        <v>4.0237768632830351E-2</v>
      </c>
      <c r="F13" s="42">
        <f>IFERROR(Model!G14/Model!F14-1,"")</f>
        <v>0.20351648351648355</v>
      </c>
    </row>
    <row r="14" spans="1:6" x14ac:dyDescent="0.35">
      <c r="A14" t="s">
        <v>33</v>
      </c>
      <c r="B14" s="42">
        <f>IFERROR(Model!C23/Model!B23-1,"")</f>
        <v>-7.0121363899056099E-2</v>
      </c>
      <c r="C14" s="42">
        <f>IFERROR(Model!D23/Model!C23-1,"")</f>
        <v>-1.4916096954630254E-2</v>
      </c>
      <c r="D14" s="42">
        <f>IFERROR(Model!E23/Model!D23-1,"")</f>
        <v>0.18906414300736074</v>
      </c>
      <c r="E14" s="42">
        <f>IFERROR(Model!F23/Model!E23-1,"")</f>
        <v>2.6176158471878264E-2</v>
      </c>
      <c r="F14" s="42">
        <f>IFERROR(Model!G23/Model!F23-1,"")</f>
        <v>7.962771458117901E-2</v>
      </c>
    </row>
    <row r="15" spans="1:6" x14ac:dyDescent="0.35">
      <c r="A15" t="s">
        <v>126</v>
      </c>
      <c r="B15" s="42">
        <f>IFERROR(Model!C26/Model!B26-1,"")</f>
        <v>2.0725388601036343E-2</v>
      </c>
      <c r="C15" s="42">
        <f>IFERROR(Model!D26/Model!C26-1,"")</f>
        <v>0.32910321489001682</v>
      </c>
      <c r="D15" s="42">
        <f>IFERROR(Model!E26/Model!D26-1,"")</f>
        <v>0.31890515595162316</v>
      </c>
      <c r="E15" s="42">
        <f>IFERROR(Model!F26/Model!E26-1,"")</f>
        <v>6.1776061776061875E-2</v>
      </c>
      <c r="F15" s="42">
        <f>IFERROR(Model!G26/Model!F26-1,"")</f>
        <v>-6.2727272727272743E-2</v>
      </c>
    </row>
    <row r="16" spans="1:6" x14ac:dyDescent="0.35">
      <c r="A16" t="s">
        <v>127</v>
      </c>
      <c r="B16" s="42">
        <f>IFERROR(Model!C28/Model!B28-1,"")</f>
        <v>-0.12761714855433703</v>
      </c>
      <c r="C16" s="42">
        <f>IFERROR(Model!D28/Model!C28-1,"")</f>
        <v>-0.1657142857142857</v>
      </c>
      <c r="D16" s="42">
        <f>IFERROR(Model!E28/Model!D28-1,"")</f>
        <v>0.14657534246575343</v>
      </c>
      <c r="E16" s="42">
        <f>IFERROR(Model!F28/Model!E28-1,"")</f>
        <v>1.9912385503784158E-3</v>
      </c>
      <c r="F16" s="42">
        <f>IFERROR(Model!G28/Model!F28-1,"")</f>
        <v>0.17130365659777413</v>
      </c>
    </row>
    <row r="17" spans="1:6" x14ac:dyDescent="0.35">
      <c r="B17" s="21"/>
      <c r="C17" s="21"/>
      <c r="D17" s="21"/>
      <c r="E17" s="21"/>
      <c r="F17" s="21"/>
    </row>
    <row r="18" spans="1:6" x14ac:dyDescent="0.35">
      <c r="A18" s="19" t="s">
        <v>42</v>
      </c>
      <c r="B18" s="41"/>
      <c r="C18" s="41"/>
      <c r="D18" s="41"/>
      <c r="E18" s="41"/>
      <c r="F18" s="41"/>
    </row>
    <row r="19" spans="1:6" x14ac:dyDescent="0.35">
      <c r="A19" t="s">
        <v>9</v>
      </c>
      <c r="B19" s="42">
        <f>IFERROR(Model!C32/Model!B32-1,"")</f>
        <v>1.5863314349215063E-2</v>
      </c>
      <c r="C19" s="42">
        <f>IFERROR(Model!D32/Model!C32-1,"")</f>
        <v>3.3140075479954234E-2</v>
      </c>
      <c r="D19" s="42">
        <f>IFERROR(Model!E32/Model!D32-1,"")</f>
        <v>9.7184060479964307E-2</v>
      </c>
      <c r="E19" s="42">
        <f>IFERROR(Model!F32/Model!E32-1,"")</f>
        <v>2.3899134362062702E-2</v>
      </c>
      <c r="F19" s="42">
        <f>IFERROR(Model!G32/Model!F32-1,"")</f>
        <v>3.7078402819994416E-2</v>
      </c>
    </row>
    <row r="20" spans="1:6" x14ac:dyDescent="0.35">
      <c r="A20" t="s">
        <v>12</v>
      </c>
      <c r="B20" s="42">
        <f>IFERROR(Model!C33/Model!B33-1,"")</f>
        <v>1.4740872798407301E-2</v>
      </c>
      <c r="C20" s="42">
        <f>IFERROR(Model!D33/Model!C33-1,"")</f>
        <v>3.2635594263135559E-2</v>
      </c>
      <c r="D20" s="42">
        <f>IFERROR(Model!E33/Model!D33-1,"")</f>
        <v>0.10173710412032633</v>
      </c>
      <c r="E20" s="42">
        <f>IFERROR(Model!F33/Model!E33-1,"")</f>
        <v>2.392683747536406E-2</v>
      </c>
      <c r="F20" s="42">
        <f>IFERROR(Model!G33/Model!F33-1,"")</f>
        <v>3.4963557621210617E-2</v>
      </c>
    </row>
    <row r="21" spans="1:6" x14ac:dyDescent="0.35">
      <c r="A21" t="s">
        <v>124</v>
      </c>
      <c r="B21" s="42">
        <f>IFERROR(Model!C34/Model!B34-1,"")</f>
        <v>2.0380814115807722E-2</v>
      </c>
      <c r="C21" s="42">
        <f>IFERROR(Model!D34/Model!C34-1,"")</f>
        <v>3.5159242639816624E-2</v>
      </c>
      <c r="D21" s="42">
        <f>IFERROR(Model!E34/Model!D34-1,"")</f>
        <v>7.9005101366530717E-2</v>
      </c>
      <c r="E21" s="42">
        <f>IFERROR(Model!F34/Model!E34-1,"")</f>
        <v>2.3786193719074422E-2</v>
      </c>
      <c r="F21" s="42">
        <f>IFERROR(Model!G34/Model!F34-1,"")</f>
        <v>4.5701433254371926E-2</v>
      </c>
    </row>
    <row r="22" spans="1:6" x14ac:dyDescent="0.35">
      <c r="A22" t="s">
        <v>125</v>
      </c>
      <c r="B22" s="42">
        <f>IFERROR(Model!C35/Model!B35-1,"")</f>
        <v>2.7106707067398261E-2</v>
      </c>
      <c r="C22" s="42">
        <f>IFERROR(Model!D35/Model!C35-1,"")</f>
        <v>1.3554457024397948E-2</v>
      </c>
      <c r="D22" s="42">
        <f>IFERROR(Model!E35/Model!D35-1,"")</f>
        <v>0.13624921334172435</v>
      </c>
      <c r="E22" s="42">
        <f>IFERROR(Model!F35/Model!E35-1,"")</f>
        <v>-3.3647189144281331E-2</v>
      </c>
      <c r="F22" s="42">
        <f>IFERROR(Model!G35/Model!F35-1,"")</f>
        <v>4.8860868319243522E-2</v>
      </c>
    </row>
    <row r="23" spans="1:6" x14ac:dyDescent="0.35">
      <c r="A23" t="s">
        <v>14</v>
      </c>
      <c r="B23" s="42">
        <f>IFERROR(Model!C36/Model!B36-1,"")</f>
        <v>-2.412280701754399E-2</v>
      </c>
      <c r="C23" s="42">
        <f>IFERROR(Model!D36/Model!C36-1,"")</f>
        <v>-0.11910112359550562</v>
      </c>
      <c r="D23" s="42">
        <f>IFERROR(Model!E36/Model!D36-1,"")</f>
        <v>4.2517006802721191E-2</v>
      </c>
      <c r="E23" s="42">
        <f>IFERROR(Model!F36/Model!E36-1,"")</f>
        <v>0.18841761827079928</v>
      </c>
      <c r="F23" s="42">
        <f>IFERROR(Model!G36/Model!F36-1,"")</f>
        <v>-1.3040494166094541E-2</v>
      </c>
    </row>
    <row r="24" spans="1:6" x14ac:dyDescent="0.35">
      <c r="A24" t="s">
        <v>15</v>
      </c>
      <c r="B24" s="42">
        <f>IFERROR(Model!C37/Model!B37-1,"")</f>
        <v>3.3570045190445486E-2</v>
      </c>
      <c r="C24" s="42">
        <f>IFERROR(Model!D37/Model!C37-1,"")</f>
        <v>2.9356652092442204E-2</v>
      </c>
      <c r="D24" s="42">
        <f>IFERROR(Model!E37/Model!D37-1,"")</f>
        <v>0.14580443828016643</v>
      </c>
      <c r="E24" s="42">
        <f>IFERROR(Model!F37/Model!E37-1,"")</f>
        <v>-5.4244212437585149E-2</v>
      </c>
      <c r="F24" s="42">
        <f>IFERROR(Model!G37/Model!F37-1,"")</f>
        <v>5.6075513958883327E-2</v>
      </c>
    </row>
    <row r="25" spans="1:6" x14ac:dyDescent="0.35">
      <c r="A25" t="s">
        <v>16</v>
      </c>
      <c r="B25" s="42">
        <f>IFERROR(Model!C38/Model!B38-1,"")</f>
        <v>2.4661340743313831E-2</v>
      </c>
      <c r="C25" s="42">
        <f>IFERROR(Model!D38/Model!C38-1,"")</f>
        <v>3.0847457627118713E-2</v>
      </c>
      <c r="D25" s="42">
        <f>IFERROR(Model!E38/Model!D38-1,"")</f>
        <v>-3.6172311739559593E-3</v>
      </c>
      <c r="E25" s="42">
        <f>IFERROR(Model!F38/Model!E38-1,"")</f>
        <v>5.0825082508250796E-2</v>
      </c>
      <c r="F25" s="42">
        <f>IFERROR(Model!G38/Model!F38-1,"")</f>
        <v>-5.5590452261306544E-2</v>
      </c>
    </row>
    <row r="26" spans="1:6" x14ac:dyDescent="0.35">
      <c r="A26" t="s">
        <v>20</v>
      </c>
      <c r="B26" s="42">
        <f>IFERROR(Model!C40/Model!B40-1,"")</f>
        <v>3.6790557508789679E-2</v>
      </c>
      <c r="C26" s="42">
        <f>IFERROR(Model!D40/Model!C40-1,"")</f>
        <v>2.8824028097371945E-2</v>
      </c>
      <c r="D26" s="42">
        <f>IFERROR(Model!E40/Model!D40-1,"")</f>
        <v>0.19929370217775166</v>
      </c>
      <c r="E26" s="42">
        <f>IFERROR(Model!F40/Model!E40-1,"")</f>
        <v>-8.5492736552807091E-2</v>
      </c>
      <c r="F26" s="42">
        <f>IFERROR(Model!G40/Model!F40-1,"")</f>
        <v>9.4236342170226362E-2</v>
      </c>
    </row>
    <row r="27" spans="1:6" x14ac:dyDescent="0.35">
      <c r="A27" t="s">
        <v>33</v>
      </c>
      <c r="B27" s="42">
        <f>IFERROR(Model!C49/Model!B49-1,"")</f>
        <v>7.4079099111322266E-2</v>
      </c>
      <c r="C27" s="42">
        <f>IFERROR(Model!D49/Model!C49-1,"")</f>
        <v>-7.6991094549358818E-2</v>
      </c>
      <c r="D27" s="42">
        <f>IFERROR(Model!E49/Model!D49-1,"")</f>
        <v>6.9864513480224266E-2</v>
      </c>
      <c r="E27" s="42">
        <f>IFERROR(Model!F49/Model!E49-1,"")</f>
        <v>7.2593540134314072E-2</v>
      </c>
      <c r="F27" s="42">
        <f>IFERROR(Model!G49/Model!F49-1,"")</f>
        <v>2.8562909958258942E-2</v>
      </c>
    </row>
    <row r="28" spans="1:6" x14ac:dyDescent="0.35">
      <c r="A28" t="s">
        <v>126</v>
      </c>
      <c r="B28" s="42">
        <f>IFERROR(Model!C52/Model!B52-1,"")</f>
        <v>0.17348737027609151</v>
      </c>
      <c r="C28" s="42">
        <f>IFERROR(Model!D52/Model!C52-1,"")</f>
        <v>3.620891039546148E-2</v>
      </c>
      <c r="D28" s="42">
        <f>IFERROR(Model!E52/Model!D52-1,"")</f>
        <v>9.4847020933977566E-2</v>
      </c>
      <c r="E28" s="42">
        <f>IFERROR(Model!F52/Model!E52-1,"")</f>
        <v>-0.1473746139138109</v>
      </c>
      <c r="F28" s="42">
        <f>IFERROR(Model!G52/Model!F52-1,"")</f>
        <v>-0.11919958599275493</v>
      </c>
    </row>
    <row r="29" spans="1:6" x14ac:dyDescent="0.35">
      <c r="A29" t="s">
        <v>127</v>
      </c>
      <c r="B29" s="42">
        <f>IFERROR(Model!C54/Model!B54-1,"")</f>
        <v>1.773399014778354E-2</v>
      </c>
      <c r="C29" s="42">
        <f>IFERROR(Model!D54/Model!C54-1,"")</f>
        <v>-0.20840824229013954</v>
      </c>
      <c r="D29" s="42">
        <f>IFERROR(Model!E54/Model!D54-1,"")</f>
        <v>7.3549965059398703E-2</v>
      </c>
      <c r="E29" s="42">
        <f>IFERROR(Model!F54/Model!E54-1,"")</f>
        <v>0.34987794955248197</v>
      </c>
      <c r="F29" s="42">
        <f>IFERROR(Model!G54/Model!F54-1,"")</f>
        <v>0.12429174201326121</v>
      </c>
    </row>
    <row r="30" spans="1:6" x14ac:dyDescent="0.35">
      <c r="B30" s="21"/>
      <c r="C30" s="21"/>
      <c r="D30" s="21"/>
      <c r="E30" s="21"/>
      <c r="F30" s="21"/>
    </row>
    <row r="31" spans="1:6" x14ac:dyDescent="0.35">
      <c r="A31" s="20" t="s">
        <v>61</v>
      </c>
      <c r="B31" s="41"/>
      <c r="C31" s="41"/>
      <c r="D31" s="41"/>
      <c r="E31" s="41"/>
      <c r="F31" s="41"/>
    </row>
    <row r="32" spans="1:6" x14ac:dyDescent="0.35">
      <c r="A32" t="s">
        <v>9</v>
      </c>
      <c r="B32" s="42">
        <f>IFERROR(Model!C58/Model!B58-1,"")</f>
        <v>6.318968565002514E-2</v>
      </c>
      <c r="C32" s="42">
        <f>IFERROR(Model!D58/Model!C58-1,"")</f>
        <v>6.7004383001453949E-2</v>
      </c>
      <c r="D32" s="42">
        <f>IFERROR(Model!E58/Model!D58-1,"")</f>
        <v>1.0466673739490062E-2</v>
      </c>
      <c r="E32" s="42">
        <f>IFERROR(Model!F58/Model!E58-1,"")</f>
        <v>8.3633822318320838E-3</v>
      </c>
      <c r="F32" s="42">
        <f>IFERROR(Model!G58/Model!F58-1,"")</f>
        <v>1.7700842742329082E-2</v>
      </c>
    </row>
    <row r="33" spans="1:7" x14ac:dyDescent="0.35">
      <c r="A33" t="s">
        <v>12</v>
      </c>
      <c r="B33" s="42">
        <f>IFERROR(Model!C59/Model!B59-1,"")</f>
        <v>5.5830898676515472E-2</v>
      </c>
      <c r="C33" s="42">
        <f>IFERROR(Model!D59/Model!C59-1,"")</f>
        <v>6.8047842802221314E-2</v>
      </c>
      <c r="D33" s="42">
        <f>IFERROR(Model!E59/Model!D59-1,"")</f>
        <v>8.1190257169139191E-3</v>
      </c>
      <c r="E33" s="42">
        <f>IFERROR(Model!F59/Model!E59-1,"")</f>
        <v>-1.0315004364040981E-3</v>
      </c>
      <c r="F33" s="42">
        <f>IFERROR(Model!G59/Model!F59-1,"")</f>
        <v>1.0281528549995533E-2</v>
      </c>
    </row>
    <row r="34" spans="1:7" x14ac:dyDescent="0.35">
      <c r="A34" t="s">
        <v>124</v>
      </c>
      <c r="B34" s="42">
        <f>IFERROR(Model!C60/Model!B60-1,"")</f>
        <v>8.532706194503481E-2</v>
      </c>
      <c r="C34" s="42">
        <f>IFERROR(Model!D60/Model!C60-1,"")</f>
        <v>6.3950661869904168E-2</v>
      </c>
      <c r="D34" s="42">
        <f>IFERROR(Model!E60/Model!D60-1,"")</f>
        <v>1.7363604318706427E-2</v>
      </c>
      <c r="E34" s="42">
        <f>IFERROR(Model!F60/Model!E60-1,"")</f>
        <v>3.5712910801134701E-2</v>
      </c>
      <c r="F34" s="42">
        <f>IFERROR(Model!G60/Model!F60-1,"")</f>
        <v>3.8533019452360318E-2</v>
      </c>
    </row>
    <row r="35" spans="1:7" x14ac:dyDescent="0.35">
      <c r="A35" t="s">
        <v>125</v>
      </c>
      <c r="B35" s="42">
        <f>IFERROR(Model!C61/Model!B61-1,"")</f>
        <v>0.16882532829645602</v>
      </c>
      <c r="C35" s="42">
        <f>IFERROR(Model!D61/Model!C61-1,"")</f>
        <v>4.9403616775682835E-2</v>
      </c>
      <c r="D35" s="42">
        <f>IFERROR(Model!E61/Model!D61-1,"")</f>
        <v>-9.6282173498569934E-2</v>
      </c>
      <c r="E35" s="42">
        <f>IFERROR(Model!F61/Model!E61-1,"")</f>
        <v>6.3777994157740991E-2</v>
      </c>
      <c r="F35" s="42">
        <f>IFERROR(Model!G61/Model!F61-1,"")</f>
        <v>-1.6781083142639153E-2</v>
      </c>
    </row>
    <row r="36" spans="1:7" x14ac:dyDescent="0.35">
      <c r="A36" t="s">
        <v>14</v>
      </c>
      <c r="B36" s="42">
        <f>IFERROR(Model!C62/Model!B62-1,"")</f>
        <v>-3.4754568255105811E-2</v>
      </c>
      <c r="C36" s="42">
        <f>IFERROR(Model!D62/Model!C62-1,"")</f>
        <v>4.7141796585003837E-2</v>
      </c>
      <c r="D36" s="42">
        <f>IFERROR(Model!E62/Model!D62-1,"")</f>
        <v>-5.3527118043247168E-2</v>
      </c>
      <c r="E36" s="42">
        <f>IFERROR(Model!F62/Model!E62-1,"")</f>
        <v>5.6179775280898792E-2</v>
      </c>
      <c r="F36" s="42">
        <f>IFERROR(Model!G62/Model!F62-1,"")</f>
        <v>4.2553191489361764E-2</v>
      </c>
    </row>
    <row r="37" spans="1:7" x14ac:dyDescent="0.35">
      <c r="A37" t="s">
        <v>15</v>
      </c>
      <c r="B37" s="42">
        <f>IFERROR(Model!C63/Model!B63-1,"")</f>
        <v>0.23706016572595145</v>
      </c>
      <c r="C37" s="42">
        <f>IFERROR(Model!D63/Model!C63-1,"")</f>
        <v>4.9995146102320254E-2</v>
      </c>
      <c r="D37" s="42">
        <f>IFERROR(Model!E63/Model!D63-1,"")</f>
        <v>-0.10743343195266264</v>
      </c>
      <c r="E37" s="42">
        <f>IFERROR(Model!F63/Model!E63-1,"")</f>
        <v>6.5879428216283342E-2</v>
      </c>
      <c r="F37" s="42">
        <f>IFERROR(Model!G63/Model!F63-1,"")</f>
        <v>-3.3041788143828965E-2</v>
      </c>
    </row>
    <row r="38" spans="1:7" x14ac:dyDescent="0.35">
      <c r="A38" t="s">
        <v>16</v>
      </c>
      <c r="B38" s="42">
        <f>IFERROR(Model!C64/Model!B64-1,"")</f>
        <v>0.20918599363346968</v>
      </c>
      <c r="C38" s="42">
        <f>IFERROR(Model!D64/Model!C64-1,"")</f>
        <v>1.6547574276043697E-2</v>
      </c>
      <c r="D38" s="42">
        <f>IFERROR(Model!E64/Model!D64-1,"")</f>
        <v>-0.12060673325934157</v>
      </c>
      <c r="E38" s="42">
        <f>IFERROR(Model!F64/Model!E64-1,"")</f>
        <v>0.11905763567522087</v>
      </c>
      <c r="F38" s="42">
        <f>IFERROR(Model!G64/Model!F64-1,"")</f>
        <v>-6.390977443609025E-2</v>
      </c>
    </row>
    <row r="39" spans="1:7" x14ac:dyDescent="0.35">
      <c r="A39" t="s">
        <v>20</v>
      </c>
      <c r="B39" s="42">
        <f>IFERROR(Model!C66/Model!B66-1,"")</f>
        <v>0.24706266318537873</v>
      </c>
      <c r="C39" s="42">
        <f>IFERROR(Model!D66/Model!C66-1,"")</f>
        <v>6.1633080345459224E-2</v>
      </c>
      <c r="D39" s="42">
        <f>IFERROR(Model!E66/Model!D66-1,"")</f>
        <v>-0.10304449648711933</v>
      </c>
      <c r="E39" s="42">
        <f>IFERROR(Model!F66/Model!E66-1,"")</f>
        <v>4.8509000961934889E-2</v>
      </c>
      <c r="F39" s="42">
        <f>IFERROR(Model!G66/Model!F66-1,"")</f>
        <v>-2.2280471821756187E-2</v>
      </c>
    </row>
    <row r="40" spans="1:7" x14ac:dyDescent="0.35">
      <c r="A40" t="s">
        <v>33</v>
      </c>
      <c r="B40" s="42">
        <f>IFERROR(Model!C75/Model!B75-1,"")</f>
        <v>-0.10998372738585249</v>
      </c>
      <c r="C40" s="42">
        <f>IFERROR(Model!D75/Model!C75-1,"")</f>
        <v>0.13309313830931391</v>
      </c>
      <c r="D40" s="42">
        <f>IFERROR(Model!E75/Model!D75-1,"")</f>
        <v>-0.23814721655355697</v>
      </c>
      <c r="E40" s="42">
        <f>IFERROR(Model!F75/Model!E75-1,"")</f>
        <v>0.291347411698748</v>
      </c>
      <c r="F40" s="42">
        <f>IFERROR(Model!G75/Model!F75-1,"")</f>
        <v>2.6049204052098318E-2</v>
      </c>
    </row>
    <row r="41" spans="1:7" x14ac:dyDescent="0.35">
      <c r="A41" t="s">
        <v>126</v>
      </c>
      <c r="B41" s="42">
        <f>IFERROR(Model!C78/Model!B78-1,"")</f>
        <v>6.6850113305276793E-2</v>
      </c>
      <c r="C41" s="42">
        <f>IFERROR(Model!D78/Model!C78-1,"")</f>
        <v>0.1838871187983615</v>
      </c>
      <c r="D41" s="42">
        <f>IFERROR(Model!E78/Model!D78-1,"")</f>
        <v>-2.8963219274637853E-2</v>
      </c>
      <c r="E41" s="42">
        <f>IFERROR(Model!F78/Model!E78-1,"")</f>
        <v>5.4507060842021948E-2</v>
      </c>
      <c r="F41" s="42">
        <f>IFERROR(Model!G78/Model!F78-1,"")</f>
        <v>-2.7534418022528206E-2</v>
      </c>
    </row>
    <row r="42" spans="1:7" x14ac:dyDescent="0.35">
      <c r="A42" t="s">
        <v>127</v>
      </c>
      <c r="B42" s="42">
        <f>IFERROR(Model!C80/Model!B80-1,"")</f>
        <v>-0.27707271885132012</v>
      </c>
      <c r="C42" s="42">
        <f>IFERROR(Model!D80/Model!C80-1,"")</f>
        <v>8.1496668375192316E-2</v>
      </c>
      <c r="D42" s="42">
        <f>IFERROR(Model!E80/Model!D80-1,"")</f>
        <v>-0.59715639810426557</v>
      </c>
      <c r="E42" s="42">
        <f>IFERROR(Model!F80/Model!E80-1,"")</f>
        <v>1.1970588235294124</v>
      </c>
      <c r="F42" s="42">
        <f>IFERROR(Model!G80/Model!F80-1,"")</f>
        <v>7.3627844712182089E-2</v>
      </c>
    </row>
    <row r="43" spans="1:7" x14ac:dyDescent="0.35">
      <c r="B43" s="21"/>
      <c r="C43" s="21"/>
      <c r="D43" s="21"/>
      <c r="E43" s="21"/>
      <c r="F43" s="21"/>
    </row>
    <row r="44" spans="1:7" x14ac:dyDescent="0.35">
      <c r="B44" s="21"/>
      <c r="C44" s="21"/>
      <c r="D44" s="21"/>
      <c r="E44" s="21"/>
      <c r="F44" s="21"/>
    </row>
    <row r="45" spans="1:7" ht="17" x14ac:dyDescent="0.35">
      <c r="A45" s="39" t="s">
        <v>161</v>
      </c>
      <c r="B45" s="21"/>
      <c r="C45" s="21"/>
      <c r="D45" s="21"/>
      <c r="E45" s="21"/>
      <c r="F45" s="21"/>
    </row>
    <row r="46" spans="1:7" x14ac:dyDescent="0.35">
      <c r="A46" s="11" t="s">
        <v>162</v>
      </c>
      <c r="B46" s="67" t="s">
        <v>163</v>
      </c>
      <c r="C46" s="67"/>
      <c r="D46" s="67"/>
      <c r="E46" s="67"/>
      <c r="F46" s="67"/>
      <c r="G46" s="11" t="s">
        <v>164</v>
      </c>
    </row>
    <row r="47" spans="1:7" ht="48" customHeight="1" x14ac:dyDescent="0.35">
      <c r="A47" s="43" t="s">
        <v>165</v>
      </c>
      <c r="B47" s="66" t="s">
        <v>166</v>
      </c>
      <c r="C47" s="66"/>
      <c r="D47" s="66"/>
      <c r="E47" s="66"/>
      <c r="F47" s="66"/>
      <c r="G47" s="44" t="s">
        <v>167</v>
      </c>
    </row>
    <row r="48" spans="1:7" ht="48" customHeight="1" x14ac:dyDescent="0.35">
      <c r="A48" s="43" t="s">
        <v>168</v>
      </c>
      <c r="B48" s="66" t="s">
        <v>169</v>
      </c>
      <c r="C48" s="66"/>
      <c r="D48" s="66"/>
      <c r="E48" s="66"/>
      <c r="F48" s="66"/>
      <c r="G48" s="44" t="s">
        <v>170</v>
      </c>
    </row>
    <row r="49" spans="1:7" ht="48" customHeight="1" x14ac:dyDescent="0.35">
      <c r="A49" s="43" t="s">
        <v>171</v>
      </c>
      <c r="B49" s="66" t="s">
        <v>172</v>
      </c>
      <c r="C49" s="66"/>
      <c r="D49" s="66"/>
      <c r="E49" s="66"/>
      <c r="F49" s="66"/>
      <c r="G49" s="44" t="s">
        <v>173</v>
      </c>
    </row>
    <row r="50" spans="1:7" ht="48" customHeight="1" x14ac:dyDescent="0.35">
      <c r="A50" s="43" t="s">
        <v>174</v>
      </c>
      <c r="B50" s="66" t="s">
        <v>175</v>
      </c>
      <c r="C50" s="66"/>
      <c r="D50" s="66"/>
      <c r="E50" s="66"/>
      <c r="F50" s="66"/>
      <c r="G50" s="44" t="s">
        <v>176</v>
      </c>
    </row>
    <row r="51" spans="1:7" ht="48" customHeight="1" x14ac:dyDescent="0.35">
      <c r="A51" s="43" t="s">
        <v>177</v>
      </c>
      <c r="B51" s="66" t="s">
        <v>178</v>
      </c>
      <c r="C51" s="66"/>
      <c r="D51" s="66"/>
      <c r="E51" s="66"/>
      <c r="F51" s="66"/>
      <c r="G51" s="44" t="s">
        <v>179</v>
      </c>
    </row>
    <row r="52" spans="1:7" ht="48" customHeight="1" x14ac:dyDescent="0.35">
      <c r="A52" s="43" t="s">
        <v>180</v>
      </c>
      <c r="B52" s="66" t="s">
        <v>181</v>
      </c>
      <c r="C52" s="66"/>
      <c r="D52" s="66"/>
      <c r="E52" s="66"/>
      <c r="F52" s="66"/>
      <c r="G52" s="44" t="s">
        <v>182</v>
      </c>
    </row>
    <row r="53" spans="1:7" ht="48" customHeight="1" x14ac:dyDescent="0.35">
      <c r="A53" s="43" t="s">
        <v>183</v>
      </c>
      <c r="B53" s="66" t="s">
        <v>184</v>
      </c>
      <c r="C53" s="66"/>
      <c r="D53" s="66"/>
      <c r="E53" s="66"/>
      <c r="F53" s="66"/>
      <c r="G53" s="44" t="s">
        <v>185</v>
      </c>
    </row>
    <row r="54" spans="1:7" ht="48" customHeight="1" x14ac:dyDescent="0.35">
      <c r="A54" s="43" t="s">
        <v>186</v>
      </c>
      <c r="B54" s="66" t="s">
        <v>187</v>
      </c>
      <c r="C54" s="66"/>
      <c r="D54" s="66"/>
      <c r="E54" s="66"/>
      <c r="F54" s="66"/>
      <c r="G54" s="44" t="s">
        <v>188</v>
      </c>
    </row>
  </sheetData>
  <mergeCells count="9">
    <mergeCell ref="B52:F52"/>
    <mergeCell ref="B53:F53"/>
    <mergeCell ref="B54:F54"/>
    <mergeCell ref="B46:F46"/>
    <mergeCell ref="B47:F47"/>
    <mergeCell ref="B48:F48"/>
    <mergeCell ref="B49:F49"/>
    <mergeCell ref="B50:F50"/>
    <mergeCell ref="B51:F51"/>
  </mergeCells>
  <phoneticPr fontId="4" type="noConversion"/>
  <conditionalFormatting sqref="B6:F16">
    <cfRule type="expression" dxfId="14" priority="1" stopIfTrue="1">
      <formula>AND(ISNUMBER(B6),ABS(B6)&gt;=0.1)</formula>
    </cfRule>
    <cfRule type="expression" dxfId="13" priority="2" stopIfTrue="1">
      <formula>AND(ISNUMBER(B6),B6&lt;0)</formula>
    </cfRule>
  </conditionalFormatting>
  <conditionalFormatting sqref="B19:F29">
    <cfRule type="expression" dxfId="12" priority="3" stopIfTrue="1">
      <formula>AND(ISNUMBER(B19),ABS(B19)&gt;=0.1)</formula>
    </cfRule>
    <cfRule type="expression" dxfId="11" priority="4" stopIfTrue="1">
      <formula>AND(ISNUMBER(B19),B19&lt;0)</formula>
    </cfRule>
  </conditionalFormatting>
  <conditionalFormatting sqref="B32:F42">
    <cfRule type="expression" dxfId="10" priority="5" stopIfTrue="1">
      <formula>AND(ISNUMBER(B32),ABS(B32)&gt;=0.1)</formula>
    </cfRule>
    <cfRule type="expression" dxfId="9" priority="6" stopIfTrue="1">
      <formula>AND(ISNUMBER(B32),B32&lt;0)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421C-47F3-422C-B010-20BC926D83FB}">
  <dimension ref="A1:F32"/>
  <sheetViews>
    <sheetView workbookViewId="0"/>
  </sheetViews>
  <sheetFormatPr defaultRowHeight="14.5" x14ac:dyDescent="0.35"/>
  <cols>
    <col min="1" max="1" width="3.6328125" customWidth="1"/>
    <col min="2" max="2" width="46.6328125" customWidth="1"/>
    <col min="3" max="6" width="13.6328125" customWidth="1"/>
  </cols>
  <sheetData>
    <row r="1" spans="1:6" ht="21" x14ac:dyDescent="0.35">
      <c r="A1" s="1" t="s">
        <v>210</v>
      </c>
    </row>
    <row r="2" spans="1:6" x14ac:dyDescent="0.35">
      <c r="A2" s="3" t="s">
        <v>211</v>
      </c>
    </row>
    <row r="4" spans="1:6" x14ac:dyDescent="0.35">
      <c r="B4" t="s">
        <v>3</v>
      </c>
      <c r="C4" s="47" t="s">
        <v>8</v>
      </c>
    </row>
    <row r="5" spans="1:6" x14ac:dyDescent="0.35">
      <c r="B5" t="s">
        <v>212</v>
      </c>
      <c r="C5" s="47" t="s">
        <v>213</v>
      </c>
    </row>
    <row r="7" spans="1:6" ht="20" customHeight="1" x14ac:dyDescent="0.35">
      <c r="B7" s="49" t="s">
        <v>214</v>
      </c>
      <c r="C7" s="52">
        <v>2023</v>
      </c>
      <c r="D7" s="52">
        <v>2024</v>
      </c>
      <c r="E7" s="52">
        <v>2025</v>
      </c>
      <c r="F7" s="21"/>
    </row>
    <row r="8" spans="1:6" x14ac:dyDescent="0.35">
      <c r="B8" t="s">
        <v>136</v>
      </c>
      <c r="C8" s="5">
        <f>_xlfn.XLOOKUP($C$4&amp;"|"&amp;$B8,Ratios!$A$5:$A$60,Ratios!G$5:G$60)</f>
        <v>5.3536032847232073E-2</v>
      </c>
      <c r="D8" s="5">
        <f>_xlfn.XLOOKUP($C$4&amp;"|"&amp;$B8,Ratios!$A$5:$A$60,Ratios!H$5:H$60)</f>
        <v>9.9783298896338746E-3</v>
      </c>
      <c r="E8" s="5">
        <f>_xlfn.XLOOKUP($C$4&amp;"|"&amp;$B8,Ratios!$A$5:$A$60,Ratios!I$5:I$60)</f>
        <v>4.2816942249520373E-2</v>
      </c>
    </row>
    <row r="9" spans="1:6" x14ac:dyDescent="0.35">
      <c r="B9" t="s">
        <v>140</v>
      </c>
      <c r="C9" s="5">
        <f>_xlfn.XLOOKUP($C$4&amp;"|"&amp;$B9,Ratios!$A$5:$A$60,Ratios!G$5:G$60)</f>
        <v>6.2221774261284418E-2</v>
      </c>
      <c r="D9" s="5">
        <f>_xlfn.XLOOKUP($C$4&amp;"|"&amp;$B9,Ratios!$A$5:$A$60,Ratios!H$5:H$60)</f>
        <v>5.7781547826954743E-2</v>
      </c>
      <c r="E9" s="5">
        <f>_xlfn.XLOOKUP($C$4&amp;"|"&amp;$B9,Ratios!$A$5:$A$60,Ratios!I$5:I$60)</f>
        <v>6.9229926607514508E-2</v>
      </c>
    </row>
    <row r="10" spans="1:6" x14ac:dyDescent="0.35">
      <c r="B10" t="s">
        <v>144</v>
      </c>
      <c r="C10" s="5">
        <f>_xlfn.XLOOKUP($C$4&amp;"|"&amp;$B10,Ratios!$A$5:$A$60,Ratios!G$5:G$60)</f>
        <v>0.24612202688728024</v>
      </c>
      <c r="D10" s="5">
        <f>_xlfn.XLOOKUP($C$4&amp;"|"&amp;$B10,Ratios!$A$5:$A$60,Ratios!H$5:H$60)</f>
        <v>0.26191329272662128</v>
      </c>
      <c r="E10" s="5">
        <f>_xlfn.XLOOKUP($C$4&amp;"|"&amp;$B10,Ratios!$A$5:$A$60,Ratios!I$5:I$60)</f>
        <v>0.29331884845192829</v>
      </c>
    </row>
    <row r="12" spans="1:6" ht="20" customHeight="1" x14ac:dyDescent="0.35">
      <c r="B12" s="49" t="s">
        <v>215</v>
      </c>
      <c r="C12" s="53" t="s">
        <v>216</v>
      </c>
      <c r="D12" s="53" t="s">
        <v>213</v>
      </c>
      <c r="E12" s="53" t="s">
        <v>217</v>
      </c>
      <c r="F12" s="53" t="s">
        <v>218</v>
      </c>
    </row>
    <row r="13" spans="1:6" x14ac:dyDescent="0.35">
      <c r="B13" t="s">
        <v>136</v>
      </c>
      <c r="C13" s="5">
        <f>MIN(C8:E8)</f>
        <v>9.9783298896338746E-3</v>
      </c>
      <c r="D13" s="5">
        <f>AVERAGE(C8:E8)</f>
        <v>3.5443768328795443E-2</v>
      </c>
      <c r="E13" s="5">
        <f>MAX(C8:E8)</f>
        <v>5.3536032847232073E-2</v>
      </c>
      <c r="F13" s="5">
        <f>_xlfn.XLOOKUP($C$5,$C$12:$E$12,C13:E13)</f>
        <v>3.5443768328795443E-2</v>
      </c>
    </row>
    <row r="14" spans="1:6" x14ac:dyDescent="0.35">
      <c r="B14" t="s">
        <v>140</v>
      </c>
      <c r="C14" s="5">
        <f>MIN(C9:E9)</f>
        <v>5.7781547826954743E-2</v>
      </c>
      <c r="D14" s="5">
        <f>AVERAGE(C9:E9)</f>
        <v>6.3077749565251223E-2</v>
      </c>
      <c r="E14" s="5">
        <f>MAX(C9:E9)</f>
        <v>6.9229926607514508E-2</v>
      </c>
      <c r="F14" s="5">
        <f>_xlfn.XLOOKUP($C$5,$C$12:$E$12,C14:E14)</f>
        <v>6.3077749565251223E-2</v>
      </c>
    </row>
    <row r="15" spans="1:6" x14ac:dyDescent="0.35">
      <c r="B15" t="s">
        <v>144</v>
      </c>
      <c r="C15" s="5">
        <f>MAX(C10:E10)</f>
        <v>0.29331884845192829</v>
      </c>
      <c r="D15" s="5">
        <f>AVERAGE(C10:E10)</f>
        <v>0.26711805602194327</v>
      </c>
      <c r="E15" s="5">
        <f>MIN(C10:E10)</f>
        <v>0.24612202688728024</v>
      </c>
      <c r="F15" s="5">
        <f>_xlfn.XLOOKUP($C$5,$C$12:$E$12,C15:E15)</f>
        <v>0.26711805602194327</v>
      </c>
    </row>
    <row r="16" spans="1:6" x14ac:dyDescent="0.35">
      <c r="B16" t="s">
        <v>219</v>
      </c>
      <c r="C16" s="48">
        <f>SUMIFS(tblData[Amount],tblData[Company],$C$4,tblData[Fiscal year],2025,tblData[Standard line item],"Net finance costs")</f>
        <v>742</v>
      </c>
      <c r="D16" s="48">
        <f>C16</f>
        <v>742</v>
      </c>
      <c r="E16" s="48">
        <f>C16</f>
        <v>742</v>
      </c>
      <c r="F16" s="48">
        <f>_xlfn.XLOOKUP($C$5,$C$12:$E$12,C16:E16)</f>
        <v>742</v>
      </c>
    </row>
    <row r="18" spans="2:6" ht="20" customHeight="1" x14ac:dyDescent="0.35">
      <c r="B18" s="49" t="s">
        <v>220</v>
      </c>
      <c r="C18" s="53" t="s">
        <v>216</v>
      </c>
      <c r="D18" s="53" t="s">
        <v>213</v>
      </c>
      <c r="E18" s="53" t="s">
        <v>217</v>
      </c>
      <c r="F18" s="53" t="s">
        <v>218</v>
      </c>
    </row>
    <row r="19" spans="2:6" x14ac:dyDescent="0.35">
      <c r="B19" t="s">
        <v>221</v>
      </c>
      <c r="C19" s="48">
        <f>SUMIFS(tblData[Amount],tblData[Company],$C$4,tblData[Fiscal year],2025,tblData[Standard line item],"Revenue")/_xlfn.XLOOKUP($C$4&amp;"|2025",tblPeriods[Key],tblPeriods[Weeks])*52</f>
        <v>62697.283018867922</v>
      </c>
      <c r="D19" s="48">
        <f>SUMIFS(tblData[Amount],tblData[Company],$C$4,tblData[Fiscal year],2025,tblData[Standard line item],"Revenue")/_xlfn.XLOOKUP($C$4&amp;"|2025",tblPeriods[Key],tblPeriods[Weeks])*52</f>
        <v>62697.283018867922</v>
      </c>
      <c r="E19" s="48">
        <f>SUMIFS(tblData[Amount],tblData[Company],$C$4,tblData[Fiscal year],2025,tblData[Standard line item],"Revenue")/_xlfn.XLOOKUP($C$4&amp;"|2025",tblPeriods[Key],tblPeriods[Weeks])*52</f>
        <v>62697.283018867922</v>
      </c>
      <c r="F19" s="50">
        <f t="shared" ref="F19:F26" si="0">_xlfn.XLOOKUP($C$5,$C$18:$E$18,C19:E19)</f>
        <v>62697.283018867922</v>
      </c>
    </row>
    <row r="20" spans="2:6" x14ac:dyDescent="0.35">
      <c r="B20" t="s">
        <v>9</v>
      </c>
      <c r="C20" s="48">
        <f t="shared" ref="C20:E20" si="1">C19*(1+C13)</f>
        <v>63322.897192013923</v>
      </c>
      <c r="D20" s="48">
        <f t="shared" si="1"/>
        <v>64919.510993033589</v>
      </c>
      <c r="E20" s="48">
        <f t="shared" si="1"/>
        <v>66053.846821998246</v>
      </c>
      <c r="F20" s="50">
        <f t="shared" si="0"/>
        <v>64919.510993033589</v>
      </c>
    </row>
    <row r="21" spans="2:6" x14ac:dyDescent="0.35">
      <c r="B21" t="s">
        <v>125</v>
      </c>
      <c r="C21" s="48">
        <f t="shared" ref="C21:E21" si="2">C20*C14</f>
        <v>3658.8950126416908</v>
      </c>
      <c r="D21" s="48">
        <f t="shared" si="2"/>
        <v>4094.9766563171465</v>
      </c>
      <c r="E21" s="48">
        <f t="shared" si="2"/>
        <v>4572.9029676309437</v>
      </c>
      <c r="F21" s="50">
        <f t="shared" si="0"/>
        <v>4094.9766563171465</v>
      </c>
    </row>
    <row r="22" spans="2:6" x14ac:dyDescent="0.35">
      <c r="B22" t="s">
        <v>14</v>
      </c>
      <c r="C22" s="48">
        <f t="shared" ref="C22:E22" si="3">C16</f>
        <v>742</v>
      </c>
      <c r="D22" s="48">
        <f t="shared" si="3"/>
        <v>742</v>
      </c>
      <c r="E22" s="48">
        <f t="shared" si="3"/>
        <v>742</v>
      </c>
      <c r="F22" s="50">
        <f t="shared" si="0"/>
        <v>742</v>
      </c>
    </row>
    <row r="23" spans="2:6" x14ac:dyDescent="0.35">
      <c r="B23" t="s">
        <v>15</v>
      </c>
      <c r="C23" s="48">
        <f t="shared" ref="C23:E23" si="4">C21-C22</f>
        <v>2916.8950126416908</v>
      </c>
      <c r="D23" s="48">
        <f t="shared" si="4"/>
        <v>3352.9766563171465</v>
      </c>
      <c r="E23" s="48">
        <f t="shared" si="4"/>
        <v>3830.9029676309437</v>
      </c>
      <c r="F23" s="50">
        <f t="shared" si="0"/>
        <v>3352.9766563171465</v>
      </c>
    </row>
    <row r="24" spans="2:6" x14ac:dyDescent="0.35">
      <c r="B24" t="s">
        <v>16</v>
      </c>
      <c r="C24" s="48">
        <f t="shared" ref="C24:E24" si="5">C23*C15</f>
        <v>855.58028616323361</v>
      </c>
      <c r="D24" s="48">
        <f t="shared" si="5"/>
        <v>895.64060632239159</v>
      </c>
      <c r="E24" s="48">
        <f t="shared" si="5"/>
        <v>942.86960320182482</v>
      </c>
      <c r="F24" s="50">
        <f t="shared" si="0"/>
        <v>895.64060632239159</v>
      </c>
    </row>
    <row r="25" spans="2:6" x14ac:dyDescent="0.35">
      <c r="B25" t="s">
        <v>20</v>
      </c>
      <c r="C25" s="48">
        <f t="shared" ref="C25:E25" si="6">C23-C24</f>
        <v>2061.314726478457</v>
      </c>
      <c r="D25" s="48">
        <f t="shared" si="6"/>
        <v>2457.3360499947548</v>
      </c>
      <c r="E25" s="48">
        <f t="shared" si="6"/>
        <v>2888.033364429119</v>
      </c>
      <c r="F25" s="50">
        <f t="shared" si="0"/>
        <v>2457.3360499947548</v>
      </c>
    </row>
    <row r="26" spans="2:6" x14ac:dyDescent="0.35">
      <c r="B26" t="s">
        <v>142</v>
      </c>
      <c r="C26" s="5">
        <f t="shared" ref="C26:E26" si="7">C25/C20</f>
        <v>3.2552438657819704E-2</v>
      </c>
      <c r="D26" s="5">
        <f t="shared" si="7"/>
        <v>3.7852041896286735E-2</v>
      </c>
      <c r="E26" s="5">
        <f t="shared" si="7"/>
        <v>4.3722409872838819E-2</v>
      </c>
      <c r="F26" s="51">
        <f t="shared" si="0"/>
        <v>3.7852041896286735E-2</v>
      </c>
    </row>
    <row r="28" spans="2:6" x14ac:dyDescent="0.35">
      <c r="B28" t="s">
        <v>222</v>
      </c>
      <c r="F28" s="48">
        <f>SUMIFS(tblData[Amount],tblData[Company],$C$4,tblData[Fiscal year],2025,tblData[Standard line item],"Net earnings")-SUMIFS(tblData[Amount],tblData[Company],$C$4,tblData[Fiscal year],2025,tblData[Standard line item],"Net earnings from discontinued operations")</f>
        <v>2602</v>
      </c>
    </row>
    <row r="30" spans="2:6" x14ac:dyDescent="0.35">
      <c r="B30" s="2" t="s">
        <v>223</v>
      </c>
    </row>
    <row r="31" spans="2:6" x14ac:dyDescent="0.35">
      <c r="B31" s="2" t="s">
        <v>224</v>
      </c>
    </row>
    <row r="32" spans="2:6" x14ac:dyDescent="0.35">
      <c r="B32" s="2" t="s">
        <v>225</v>
      </c>
    </row>
  </sheetData>
  <phoneticPr fontId="4" type="noConversion"/>
  <dataValidations count="2">
    <dataValidation type="list" allowBlank="1" showInputMessage="1" showErrorMessage="1" sqref="C4" xr:uid="{1F51E279-A162-4A2E-A814-8B5A3067F341}">
      <formula1>"Loblaw,Metro,Empire"</formula1>
    </dataValidation>
    <dataValidation type="list" allowBlank="1" showInputMessage="1" showErrorMessage="1" sqref="C5" xr:uid="{9AD8D404-C08D-4DD7-86CF-A82B71DAD79F}">
      <formula1>"Low,Base,High"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32C7-149B-4C8E-885F-12DAC0DAABF0}">
  <dimension ref="A1:K27"/>
  <sheetViews>
    <sheetView workbookViewId="0"/>
  </sheetViews>
  <sheetFormatPr defaultRowHeight="14.5" x14ac:dyDescent="0.35"/>
  <cols>
    <col min="1" max="1" width="40.6328125" customWidth="1"/>
    <col min="2" max="4" width="11.6328125" customWidth="1"/>
    <col min="5" max="5" width="7.7265625" bestFit="1" customWidth="1"/>
    <col min="8" max="8" width="14.6328125" customWidth="1"/>
    <col min="9" max="11" width="11.6328125" customWidth="1"/>
    <col min="12" max="12" width="7.7265625" bestFit="1" customWidth="1"/>
  </cols>
  <sheetData>
    <row r="1" spans="1:11" ht="21" x14ac:dyDescent="0.35">
      <c r="A1" s="1" t="s">
        <v>232</v>
      </c>
    </row>
    <row r="2" spans="1:11" x14ac:dyDescent="0.35">
      <c r="A2" s="3" t="s">
        <v>233</v>
      </c>
    </row>
    <row r="5" spans="1:11" x14ac:dyDescent="0.35">
      <c r="A5" s="62" t="s">
        <v>74</v>
      </c>
      <c r="B5" s="63">
        <v>2025</v>
      </c>
      <c r="H5" s="62" t="s">
        <v>5</v>
      </c>
      <c r="I5" t="s">
        <v>9</v>
      </c>
    </row>
    <row r="7" spans="1:11" x14ac:dyDescent="0.35">
      <c r="A7" s="62" t="s">
        <v>234</v>
      </c>
      <c r="B7" s="62" t="s">
        <v>3</v>
      </c>
      <c r="H7" s="62" t="s">
        <v>234</v>
      </c>
      <c r="I7" s="62" t="s">
        <v>3</v>
      </c>
    </row>
    <row r="8" spans="1:11" x14ac:dyDescent="0.35">
      <c r="A8" s="62" t="s">
        <v>235</v>
      </c>
      <c r="B8" t="s">
        <v>8</v>
      </c>
      <c r="C8" t="s">
        <v>42</v>
      </c>
      <c r="D8" t="s">
        <v>61</v>
      </c>
      <c r="H8" s="62" t="s">
        <v>74</v>
      </c>
      <c r="I8" t="s">
        <v>8</v>
      </c>
      <c r="J8" t="s">
        <v>42</v>
      </c>
      <c r="K8" t="s">
        <v>61</v>
      </c>
    </row>
    <row r="9" spans="1:11" x14ac:dyDescent="0.35">
      <c r="A9" s="63" t="s">
        <v>9</v>
      </c>
      <c r="B9" s="48">
        <v>63903</v>
      </c>
      <c r="C9" s="48">
        <v>22006.7</v>
      </c>
      <c r="D9" s="48">
        <v>31277</v>
      </c>
      <c r="H9" s="63">
        <v>2020</v>
      </c>
      <c r="I9" s="48">
        <v>52714</v>
      </c>
      <c r="J9" s="48">
        <v>17997.5</v>
      </c>
      <c r="K9" s="48">
        <v>26588.2</v>
      </c>
    </row>
    <row r="10" spans="1:11" x14ac:dyDescent="0.35">
      <c r="A10" s="63" t="s">
        <v>12</v>
      </c>
      <c r="B10" s="48">
        <v>43871</v>
      </c>
      <c r="C10" s="48">
        <v>17636.400000000001</v>
      </c>
      <c r="D10" s="48">
        <v>22895</v>
      </c>
      <c r="H10" s="63">
        <v>2021</v>
      </c>
      <c r="I10" s="48">
        <v>53170</v>
      </c>
      <c r="J10" s="48">
        <v>18283</v>
      </c>
      <c r="K10" s="48">
        <v>28268.3</v>
      </c>
    </row>
    <row r="11" spans="1:11" x14ac:dyDescent="0.35">
      <c r="A11" s="63" t="s">
        <v>14</v>
      </c>
      <c r="B11" s="48">
        <v>742</v>
      </c>
      <c r="C11" s="48">
        <v>143.80000000000001</v>
      </c>
      <c r="D11" s="48">
        <v>294</v>
      </c>
      <c r="H11" s="63">
        <v>2022</v>
      </c>
      <c r="I11" s="48">
        <v>56504</v>
      </c>
      <c r="J11" s="48">
        <v>18888.900000000001</v>
      </c>
      <c r="K11" s="48">
        <v>30162.400000000001</v>
      </c>
    </row>
    <row r="12" spans="1:11" x14ac:dyDescent="0.35">
      <c r="A12" s="63" t="s">
        <v>15</v>
      </c>
      <c r="B12" s="48">
        <v>3682</v>
      </c>
      <c r="C12" s="48">
        <v>1320.2</v>
      </c>
      <c r="D12" s="48">
        <v>995</v>
      </c>
      <c r="H12" s="63">
        <v>2023</v>
      </c>
      <c r="I12" s="48">
        <v>59529</v>
      </c>
      <c r="J12" s="48">
        <v>20724.599999999999</v>
      </c>
      <c r="K12" s="48">
        <v>30478.1</v>
      </c>
    </row>
    <row r="13" spans="1:11" x14ac:dyDescent="0.35">
      <c r="A13" s="63" t="s">
        <v>16</v>
      </c>
      <c r="B13" s="48">
        <v>1080</v>
      </c>
      <c r="C13" s="48">
        <v>300.7</v>
      </c>
      <c r="D13" s="48">
        <v>249</v>
      </c>
      <c r="H13" s="63">
        <v>2024</v>
      </c>
      <c r="I13" s="48">
        <v>60123</v>
      </c>
      <c r="J13" s="48">
        <v>21219.9</v>
      </c>
      <c r="K13" s="48">
        <v>30733</v>
      </c>
    </row>
    <row r="14" spans="1:11" x14ac:dyDescent="0.35">
      <c r="A14" s="63" t="s">
        <v>18</v>
      </c>
      <c r="B14" s="48">
        <v>136</v>
      </c>
      <c r="C14" s="48">
        <v>0</v>
      </c>
      <c r="D14" s="48">
        <v>0</v>
      </c>
      <c r="H14" s="63">
        <v>2025</v>
      </c>
      <c r="I14" s="48">
        <v>63903</v>
      </c>
      <c r="J14" s="48">
        <v>22006.7</v>
      </c>
      <c r="K14" s="48">
        <v>31277</v>
      </c>
    </row>
    <row r="15" spans="1:11" x14ac:dyDescent="0.35">
      <c r="A15" s="63" t="s">
        <v>20</v>
      </c>
      <c r="B15" s="48">
        <v>2738</v>
      </c>
      <c r="C15" s="48">
        <v>1019.5</v>
      </c>
      <c r="D15" s="48">
        <v>746</v>
      </c>
    </row>
    <row r="16" spans="1:11" x14ac:dyDescent="0.35">
      <c r="A16" s="63" t="s">
        <v>22</v>
      </c>
      <c r="B16" s="48">
        <v>2667</v>
      </c>
      <c r="C16" s="48">
        <v>1017</v>
      </c>
      <c r="D16" s="48">
        <v>700</v>
      </c>
    </row>
    <row r="17" spans="1:4" x14ac:dyDescent="0.35">
      <c r="A17" s="63" t="s">
        <v>23</v>
      </c>
      <c r="B17" s="48">
        <v>6491</v>
      </c>
      <c r="C17" s="48">
        <v>1604.3</v>
      </c>
      <c r="D17" s="48">
        <v>1833</v>
      </c>
    </row>
    <row r="18" spans="1:4" x14ac:dyDescent="0.35">
      <c r="A18" s="63" t="s">
        <v>25</v>
      </c>
      <c r="B18" s="48">
        <v>14928</v>
      </c>
      <c r="C18" s="48">
        <v>2661</v>
      </c>
      <c r="D18" s="48">
        <v>3134</v>
      </c>
    </row>
    <row r="19" spans="1:4" x14ac:dyDescent="0.35">
      <c r="A19" s="63" t="s">
        <v>26</v>
      </c>
      <c r="B19" s="48">
        <v>41577</v>
      </c>
      <c r="C19" s="48">
        <v>14539.4</v>
      </c>
      <c r="D19" s="48">
        <v>17019</v>
      </c>
    </row>
    <row r="20" spans="1:4" x14ac:dyDescent="0.35">
      <c r="A20" s="63" t="s">
        <v>27</v>
      </c>
      <c r="B20" s="48">
        <v>13870</v>
      </c>
      <c r="C20" s="48">
        <v>2053.8000000000002</v>
      </c>
      <c r="D20" s="48">
        <v>4096</v>
      </c>
    </row>
    <row r="21" spans="1:4" x14ac:dyDescent="0.35">
      <c r="A21" s="63" t="s">
        <v>28</v>
      </c>
      <c r="B21" s="48">
        <v>30385</v>
      </c>
      <c r="C21" s="48">
        <v>7494.3</v>
      </c>
      <c r="D21" s="48">
        <v>11475</v>
      </c>
    </row>
    <row r="22" spans="1:4" x14ac:dyDescent="0.35">
      <c r="A22" s="63" t="s">
        <v>29</v>
      </c>
      <c r="B22" s="48">
        <v>11192</v>
      </c>
      <c r="C22" s="48">
        <v>7045.1</v>
      </c>
      <c r="D22" s="48">
        <v>5544</v>
      </c>
    </row>
    <row r="23" spans="1:4" x14ac:dyDescent="0.35">
      <c r="A23" s="63" t="s">
        <v>31</v>
      </c>
      <c r="B23" s="48">
        <v>11028</v>
      </c>
      <c r="C23" s="48">
        <v>7026.7</v>
      </c>
      <c r="D23" s="48">
        <v>5410</v>
      </c>
    </row>
    <row r="24" spans="1:4" x14ac:dyDescent="0.35">
      <c r="A24" s="63" t="s">
        <v>33</v>
      </c>
      <c r="B24" s="48">
        <v>6264</v>
      </c>
      <c r="C24" s="48">
        <v>1724.9</v>
      </c>
      <c r="D24" s="48">
        <v>2127</v>
      </c>
    </row>
    <row r="25" spans="1:4" x14ac:dyDescent="0.35">
      <c r="A25" s="63" t="s">
        <v>36</v>
      </c>
      <c r="B25" s="48">
        <v>1712</v>
      </c>
      <c r="C25" s="48">
        <v>452.5</v>
      </c>
      <c r="D25" s="48">
        <v>640</v>
      </c>
    </row>
    <row r="26" spans="1:4" x14ac:dyDescent="0.35">
      <c r="A26" s="63" t="s">
        <v>38</v>
      </c>
      <c r="B26" s="48">
        <v>350</v>
      </c>
      <c r="C26" s="48">
        <v>58.1</v>
      </c>
      <c r="D26" s="48">
        <v>137</v>
      </c>
    </row>
    <row r="27" spans="1:4" x14ac:dyDescent="0.35">
      <c r="A27" s="63" t="s">
        <v>40</v>
      </c>
      <c r="B27" s="48">
        <v>1255</v>
      </c>
      <c r="C27" s="48">
        <v>281.7</v>
      </c>
      <c r="D27" s="48">
        <v>548</v>
      </c>
    </row>
  </sheetData>
  <phoneticPr fontId="4"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8E9B-974F-4CA4-8171-88887185F334}">
  <sheetPr>
    <tabColor rgb="FF009650"/>
  </sheetPr>
  <dimension ref="A1:L32"/>
  <sheetViews>
    <sheetView workbookViewId="0"/>
  </sheetViews>
  <sheetFormatPr defaultRowHeight="14.5" x14ac:dyDescent="0.35"/>
  <cols>
    <col min="1" max="1" width="12.6328125" customWidth="1"/>
    <col min="2" max="12" width="15.6328125" customWidth="1"/>
  </cols>
  <sheetData>
    <row r="1" spans="1:12" ht="21" x14ac:dyDescent="0.35">
      <c r="A1" s="1" t="s">
        <v>189</v>
      </c>
    </row>
    <row r="2" spans="1:12" x14ac:dyDescent="0.35">
      <c r="A2" s="3" t="s">
        <v>190</v>
      </c>
    </row>
    <row r="3" spans="1:12" x14ac:dyDescent="0.35">
      <c r="A3" s="10" t="s">
        <v>191</v>
      </c>
      <c r="B3" s="10" t="str">
        <f>IF(COUNTIF(L6:L23,"FAIL")=0,"PASS - all "&amp;ROWS(L6:L23)&amp;" company-years tie out","FAIL - see red rows")</f>
        <v>PASS - all 18 company-years tie out</v>
      </c>
    </row>
    <row r="5" spans="1:12" ht="64" customHeight="1" x14ac:dyDescent="0.35">
      <c r="A5" s="11" t="s">
        <v>3</v>
      </c>
      <c r="B5" s="11" t="s">
        <v>74</v>
      </c>
      <c r="C5" s="11" t="s">
        <v>192</v>
      </c>
      <c r="D5" s="11" t="s">
        <v>193</v>
      </c>
      <c r="E5" s="11" t="s">
        <v>194</v>
      </c>
      <c r="F5" s="11" t="s">
        <v>195</v>
      </c>
      <c r="G5" s="11" t="s">
        <v>196</v>
      </c>
      <c r="H5" s="11" t="s">
        <v>197</v>
      </c>
      <c r="I5" s="11" t="s">
        <v>198</v>
      </c>
      <c r="J5" s="11" t="s">
        <v>199</v>
      </c>
      <c r="K5" s="11" t="s">
        <v>200</v>
      </c>
      <c r="L5" s="11" t="s">
        <v>201</v>
      </c>
    </row>
    <row r="6" spans="1:12" x14ac:dyDescent="0.35">
      <c r="A6" t="s">
        <v>8</v>
      </c>
      <c r="B6">
        <v>2020</v>
      </c>
      <c r="C6">
        <f>COUNTIFS(tblData[Company],$A6,tblData[Fiscal year],$B6)</f>
        <v>19</v>
      </c>
      <c r="D6">
        <f>COUNTIFS(tblData[Company],$A6,tblData[Fiscal year],$B6,tblData[Standard line item],"UNMAPPED")</f>
        <v>0</v>
      </c>
      <c r="E6" s="31">
        <f>ROUND(SUMIFS(tblData[Amount],tblData[Company],$A6,tblData[Fiscal year],$B6,tblData[Standard line item],"Total assets")-SUMIFS(tblData[Amount],tblData[Company],$A6,tblData[Fiscal year],$B6,tblData[Standard line item],"Total liabilities")-SUMIFS(tblData[Amount],tblData[Company],$A6,tblData[Fiscal year],$B6,tblData[Standard line item],"Total equity"),1)</f>
        <v>0</v>
      </c>
      <c r="F6" s="31">
        <f>ROUND(SUMIFS(tblData[Amount],tblData[Company],$A6,tblData[Fiscal year],$B6,tblData[Standard line item],"Earnings before income taxes")-SUMIFS(tblData[Amount],tblData[Company],$A6,tblData[Fiscal year],$B6,tblData[Standard line item],"Income taxes")+SUMIFS(tblData[Amount],tblData[Company],$A6,tblData[Fiscal year],$B6,tblData[Standard line item],"Net earnings from discontinued operations")-SUMIFS(tblData[Amount],tblData[Company],$A6,tblData[Fiscal year],$B6,tblData[Standard line item],"Net earnings"),1)</f>
        <v>0</v>
      </c>
      <c r="G6" t="b">
        <f>SUMIFS(tblData[Amount],tblData[Company],$A6,tblData[Fiscal year],$B6,tblData[Standard line item],"Net earnings attributable to shareholders")&lt;=SUMIFS(tblData[Amount],tblData[Company],$A6,tblData[Fiscal year],$B6,tblData[Standard line item],"Net earnings")</f>
        <v>1</v>
      </c>
      <c r="H6" s="45">
        <f>1-SUMIFS(tblData[Amount],tblData[Company],$A6,tblData[Fiscal year],$B6,tblData[Standard line item],"Cost of sales")/SUMIFS(tblData[Amount],tblData[Company],$A6,tblData[Fiscal year],$B6,tblData[Standard line item],"Revenue")</f>
        <v>0.30331600713283002</v>
      </c>
      <c r="I6" s="45">
        <f>_xlfn.XLOOKUP($A6&amp;"|"&amp;$B6,tblPeriods[Key],tblPeriods[Company-reported gross margin],"")</f>
        <v>0.29499999999999998</v>
      </c>
      <c r="J6" s="46">
        <f t="shared" ref="J6:J23" si="0">IF(I6="","",ROUND(H6-I6,4))</f>
        <v>8.3000000000000001E-3</v>
      </c>
      <c r="K6" t="str">
        <f>IF(I6="","n/a",IF(ABS(J6)&lt;=0.0006,"Match",IF(_xlfn.XLOOKUP($A6&amp;"|"&amp;$B6,tblPeriods[Key],tblPeriods[Gross margin gap explained],"")&lt;&gt;"","Explained gap","FAIL")))</f>
        <v>Explained gap</v>
      </c>
      <c r="L6" t="str">
        <f t="shared" ref="L6:L23" si="1">IF(AND(C6=19,D6=0,E6=0,F6=0,G6,K6&lt;&gt;"FAIL"),"PASS","FAIL")</f>
        <v>PASS</v>
      </c>
    </row>
    <row r="7" spans="1:12" x14ac:dyDescent="0.35">
      <c r="A7" t="s">
        <v>8</v>
      </c>
      <c r="B7">
        <v>2021</v>
      </c>
      <c r="C7">
        <f>COUNTIFS(tblData[Company],$A7,tblData[Fiscal year],$B7)</f>
        <v>19</v>
      </c>
      <c r="D7">
        <f>COUNTIFS(tblData[Company],$A7,tblData[Fiscal year],$B7,tblData[Standard line item],"UNMAPPED")</f>
        <v>0</v>
      </c>
      <c r="E7" s="31">
        <f>ROUND(SUMIFS(tblData[Amount],tblData[Company],$A7,tblData[Fiscal year],$B7,tblData[Standard line item],"Total assets")-SUMIFS(tblData[Amount],tblData[Company],$A7,tblData[Fiscal year],$B7,tblData[Standard line item],"Total liabilities")-SUMIFS(tblData[Amount],tblData[Company],$A7,tblData[Fiscal year],$B7,tblData[Standard line item],"Total equity"),1)</f>
        <v>0</v>
      </c>
      <c r="F7" s="31">
        <f>ROUND(SUMIFS(tblData[Amount],tblData[Company],$A7,tblData[Fiscal year],$B7,tblData[Standard line item],"Earnings before income taxes")-SUMIFS(tblData[Amount],tblData[Company],$A7,tblData[Fiscal year],$B7,tblData[Standard line item],"Income taxes")+SUMIFS(tblData[Amount],tblData[Company],$A7,tblData[Fiscal year],$B7,tblData[Standard line item],"Net earnings from discontinued operations")-SUMIFS(tblData[Amount],tblData[Company],$A7,tblData[Fiscal year],$B7,tblData[Standard line item],"Net earnings"),1)</f>
        <v>0</v>
      </c>
      <c r="G7" t="b">
        <f>SUMIFS(tblData[Amount],tblData[Company],$A7,tblData[Fiscal year],$B7,tblData[Standard line item],"Net earnings attributable to shareholders")&lt;=SUMIFS(tblData[Amount],tblData[Company],$A7,tblData[Fiscal year],$B7,tblData[Standard line item],"Net earnings")</f>
        <v>1</v>
      </c>
      <c r="H7" s="45">
        <f>1-SUMIFS(tblData[Amount],tblData[Company],$A7,tblData[Fiscal year],$B7,tblData[Standard line item],"Cost of sales")/SUMIFS(tblData[Amount],tblData[Company],$A7,tblData[Fiscal year],$B7,tblData[Standard line item],"Revenue")</f>
        <v>0.31472634944517586</v>
      </c>
      <c r="I7" s="45">
        <f>_xlfn.XLOOKUP($A7&amp;"|"&amp;$B7,tblPeriods[Key],tblPeriods[Company-reported gross margin],"")</f>
        <v>0.307</v>
      </c>
      <c r="J7" s="46">
        <f t="shared" si="0"/>
        <v>7.7000000000000002E-3</v>
      </c>
      <c r="K7" t="str">
        <f>IF(I7="","n/a",IF(ABS(J7)&lt;=0.0006,"Match",IF(_xlfn.XLOOKUP($A7&amp;"|"&amp;$B7,tblPeriods[Key],tblPeriods[Gross margin gap explained],"")&lt;&gt;"","Explained gap","FAIL")))</f>
        <v>Explained gap</v>
      </c>
      <c r="L7" t="str">
        <f t="shared" si="1"/>
        <v>PASS</v>
      </c>
    </row>
    <row r="8" spans="1:12" x14ac:dyDescent="0.35">
      <c r="A8" t="s">
        <v>8</v>
      </c>
      <c r="B8">
        <v>2022</v>
      </c>
      <c r="C8">
        <f>COUNTIFS(tblData[Company],$A8,tblData[Fiscal year],$B8)</f>
        <v>19</v>
      </c>
      <c r="D8">
        <f>COUNTIFS(tblData[Company],$A8,tblData[Fiscal year],$B8,tblData[Standard line item],"UNMAPPED")</f>
        <v>0</v>
      </c>
      <c r="E8" s="31">
        <f>ROUND(SUMIFS(tblData[Amount],tblData[Company],$A8,tblData[Fiscal year],$B8,tblData[Standard line item],"Total assets")-SUMIFS(tblData[Amount],tblData[Company],$A8,tblData[Fiscal year],$B8,tblData[Standard line item],"Total liabilities")-SUMIFS(tblData[Amount],tblData[Company],$A8,tblData[Fiscal year],$B8,tblData[Standard line item],"Total equity"),1)</f>
        <v>0</v>
      </c>
      <c r="F8" s="31">
        <f>ROUND(SUMIFS(tblData[Amount],tblData[Company],$A8,tblData[Fiscal year],$B8,tblData[Standard line item],"Earnings before income taxes")-SUMIFS(tblData[Amount],tblData[Company],$A8,tblData[Fiscal year],$B8,tblData[Standard line item],"Income taxes")+SUMIFS(tblData[Amount],tblData[Company],$A8,tblData[Fiscal year],$B8,tblData[Standard line item],"Net earnings from discontinued operations")-SUMIFS(tblData[Amount],tblData[Company],$A8,tblData[Fiscal year],$B8,tblData[Standard line item],"Net earnings"),1)</f>
        <v>0</v>
      </c>
      <c r="G8" t="b">
        <f>SUMIFS(tblData[Amount],tblData[Company],$A8,tblData[Fiscal year],$B8,tblData[Standard line item],"Net earnings attributable to shareholders")&lt;=SUMIFS(tblData[Amount],tblData[Company],$A8,tblData[Fiscal year],$B8,tblData[Standard line item],"Net earnings")</f>
        <v>1</v>
      </c>
      <c r="H8" s="45">
        <f>1-SUMIFS(tblData[Amount],tblData[Company],$A8,tblData[Fiscal year],$B8,tblData[Standard line item],"Cost of sales")/SUMIFS(tblData[Amount],tblData[Company],$A8,tblData[Fiscal year],$B8,tblData[Standard line item],"Revenue")</f>
        <v>0.31813676907829536</v>
      </c>
      <c r="I8" s="45">
        <f>_xlfn.XLOOKUP($A8&amp;"|"&amp;$B8,tblPeriods[Key],tblPeriods[Company-reported gross margin],"")</f>
        <v>0.309</v>
      </c>
      <c r="J8" s="46">
        <f t="shared" si="0"/>
        <v>9.1000000000000004E-3</v>
      </c>
      <c r="K8" t="str">
        <f>IF(I8="","n/a",IF(ABS(J8)&lt;=0.0006,"Match",IF(_xlfn.XLOOKUP($A8&amp;"|"&amp;$B8,tblPeriods[Key],tblPeriods[Gross margin gap explained],"")&lt;&gt;"","Explained gap","FAIL")))</f>
        <v>Explained gap</v>
      </c>
      <c r="L8" t="str">
        <f t="shared" si="1"/>
        <v>PASS</v>
      </c>
    </row>
    <row r="9" spans="1:12" x14ac:dyDescent="0.35">
      <c r="A9" t="s">
        <v>8</v>
      </c>
      <c r="B9">
        <v>2023</v>
      </c>
      <c r="C9">
        <f>COUNTIFS(tblData[Company],$A9,tblData[Fiscal year],$B9)</f>
        <v>19</v>
      </c>
      <c r="D9">
        <f>COUNTIFS(tblData[Company],$A9,tblData[Fiscal year],$B9,tblData[Standard line item],"UNMAPPED")</f>
        <v>0</v>
      </c>
      <c r="E9" s="31">
        <f>ROUND(SUMIFS(tblData[Amount],tblData[Company],$A9,tblData[Fiscal year],$B9,tblData[Standard line item],"Total assets")-SUMIFS(tblData[Amount],tblData[Company],$A9,tblData[Fiscal year],$B9,tblData[Standard line item],"Total liabilities")-SUMIFS(tblData[Amount],tblData[Company],$A9,tblData[Fiscal year],$B9,tblData[Standard line item],"Total equity"),1)</f>
        <v>0</v>
      </c>
      <c r="F9" s="31">
        <f>ROUND(SUMIFS(tblData[Amount],tblData[Company],$A9,tblData[Fiscal year],$B9,tblData[Standard line item],"Earnings before income taxes")-SUMIFS(tblData[Amount],tblData[Company],$A9,tblData[Fiscal year],$B9,tblData[Standard line item],"Income taxes")+SUMIFS(tblData[Amount],tblData[Company],$A9,tblData[Fiscal year],$B9,tblData[Standard line item],"Net earnings from discontinued operations")-SUMIFS(tblData[Amount],tblData[Company],$A9,tblData[Fiscal year],$B9,tblData[Standard line item],"Net earnings"),1)</f>
        <v>0</v>
      </c>
      <c r="G9" t="b">
        <f>SUMIFS(tblData[Amount],tblData[Company],$A9,tblData[Fiscal year],$B9,tblData[Standard line item],"Net earnings attributable to shareholders")&lt;=SUMIFS(tblData[Amount],tblData[Company],$A9,tblData[Fiscal year],$B9,tblData[Standard line item],"Net earnings")</f>
        <v>1</v>
      </c>
      <c r="H9" s="45">
        <f>1-SUMIFS(tblData[Amount],tblData[Company],$A9,tblData[Fiscal year],$B9,tblData[Standard line item],"Cost of sales")/SUMIFS(tblData[Amount],tblData[Company],$A9,tblData[Fiscal year],$B9,tblData[Standard line item],"Revenue")</f>
        <v>0.31979371398814027</v>
      </c>
      <c r="I9" s="45">
        <f>_xlfn.XLOOKUP($A9&amp;"|"&amp;$B9,tblPeriods[Key],tblPeriods[Company-reported gross margin],"")</f>
        <v>0.31</v>
      </c>
      <c r="J9" s="46">
        <f t="shared" si="0"/>
        <v>9.7999999999999997E-3</v>
      </c>
      <c r="K9" t="str">
        <f>IF(I9="","n/a",IF(ABS(J9)&lt;=0.0006,"Match",IF(_xlfn.XLOOKUP($A9&amp;"|"&amp;$B9,tblPeriods[Key],tblPeriods[Gross margin gap explained],"")&lt;&gt;"","Explained gap","FAIL")))</f>
        <v>Explained gap</v>
      </c>
      <c r="L9" t="str">
        <f t="shared" si="1"/>
        <v>PASS</v>
      </c>
    </row>
    <row r="10" spans="1:12" x14ac:dyDescent="0.35">
      <c r="A10" t="s">
        <v>8</v>
      </c>
      <c r="B10">
        <v>2024</v>
      </c>
      <c r="C10">
        <f>COUNTIFS(tblData[Company],$A10,tblData[Fiscal year],$B10)</f>
        <v>19</v>
      </c>
      <c r="D10">
        <f>COUNTIFS(tblData[Company],$A10,tblData[Fiscal year],$B10,tblData[Standard line item],"UNMAPPED")</f>
        <v>0</v>
      </c>
      <c r="E10" s="31">
        <f>ROUND(SUMIFS(tblData[Amount],tblData[Company],$A10,tblData[Fiscal year],$B10,tblData[Standard line item],"Total assets")-SUMIFS(tblData[Amount],tblData[Company],$A10,tblData[Fiscal year],$B10,tblData[Standard line item],"Total liabilities")-SUMIFS(tblData[Amount],tblData[Company],$A10,tblData[Fiscal year],$B10,tblData[Standard line item],"Total equity"),1)</f>
        <v>0</v>
      </c>
      <c r="F10" s="31">
        <f>ROUND(SUMIFS(tblData[Amount],tblData[Company],$A10,tblData[Fiscal year],$B10,tblData[Standard line item],"Earnings before income taxes")-SUMIFS(tblData[Amount],tblData[Company],$A10,tblData[Fiscal year],$B10,tblData[Standard line item],"Income taxes")+SUMIFS(tblData[Amount],tblData[Company],$A10,tblData[Fiscal year],$B10,tblData[Standard line item],"Net earnings from discontinued operations")-SUMIFS(tblData[Amount],tblData[Company],$A10,tblData[Fiscal year],$B10,tblData[Standard line item],"Net earnings"),1)</f>
        <v>0</v>
      </c>
      <c r="G10" t="b">
        <f>SUMIFS(tblData[Amount],tblData[Company],$A10,tblData[Fiscal year],$B10,tblData[Standard line item],"Net earnings attributable to shareholders")&lt;=SUMIFS(tblData[Amount],tblData[Company],$A10,tblData[Fiscal year],$B10,tblData[Standard line item],"Net earnings")</f>
        <v>1</v>
      </c>
      <c r="H10" s="45">
        <f>1-SUMIFS(tblData[Amount],tblData[Company],$A10,tblData[Fiscal year],$B10,tblData[Standard line item],"Cost of sales")/SUMIFS(tblData[Amount],tblData[Company],$A10,tblData[Fiscal year],$B10,tblData[Standard line item],"Revenue")</f>
        <v>0.31327445403589305</v>
      </c>
      <c r="I10" s="45">
        <f>_xlfn.XLOOKUP($A10&amp;"|"&amp;$B10,tblPeriods[Key],tblPeriods[Company-reported gross margin],"")</f>
        <v>0.313</v>
      </c>
      <c r="J10" s="46">
        <f t="shared" si="0"/>
        <v>2.9999999999999997E-4</v>
      </c>
      <c r="K10" t="str">
        <f>IF(I10="","n/a",IF(ABS(J10)&lt;=0.0006,"Match",IF(_xlfn.XLOOKUP($A10&amp;"|"&amp;$B10,tblPeriods[Key],tblPeriods[Gross margin gap explained],"")&lt;&gt;"","Explained gap","FAIL")))</f>
        <v>Match</v>
      </c>
      <c r="L10" t="str">
        <f t="shared" si="1"/>
        <v>PASS</v>
      </c>
    </row>
    <row r="11" spans="1:12" x14ac:dyDescent="0.35">
      <c r="A11" t="s">
        <v>8</v>
      </c>
      <c r="B11">
        <v>2025</v>
      </c>
      <c r="C11">
        <f>COUNTIFS(tblData[Company],$A11,tblData[Fiscal year],$B11)</f>
        <v>19</v>
      </c>
      <c r="D11">
        <f>COUNTIFS(tblData[Company],$A11,tblData[Fiscal year],$B11,tblData[Standard line item],"UNMAPPED")</f>
        <v>0</v>
      </c>
      <c r="E11" s="31">
        <f>ROUND(SUMIFS(tblData[Amount],tblData[Company],$A11,tblData[Fiscal year],$B11,tblData[Standard line item],"Total assets")-SUMIFS(tblData[Amount],tblData[Company],$A11,tblData[Fiscal year],$B11,tblData[Standard line item],"Total liabilities")-SUMIFS(tblData[Amount],tblData[Company],$A11,tblData[Fiscal year],$B11,tblData[Standard line item],"Total equity"),1)</f>
        <v>0</v>
      </c>
      <c r="F11" s="31">
        <f>ROUND(SUMIFS(tblData[Amount],tblData[Company],$A11,tblData[Fiscal year],$B11,tblData[Standard line item],"Earnings before income taxes")-SUMIFS(tblData[Amount],tblData[Company],$A11,tblData[Fiscal year],$B11,tblData[Standard line item],"Income taxes")+SUMIFS(tblData[Amount],tblData[Company],$A11,tblData[Fiscal year],$B11,tblData[Standard line item],"Net earnings from discontinued operations")-SUMIFS(tblData[Amount],tblData[Company],$A11,tblData[Fiscal year],$B11,tblData[Standard line item],"Net earnings"),1)</f>
        <v>0</v>
      </c>
      <c r="G11" t="b">
        <f>SUMIFS(tblData[Amount],tblData[Company],$A11,tblData[Fiscal year],$B11,tblData[Standard line item],"Net earnings attributable to shareholders")&lt;=SUMIFS(tblData[Amount],tblData[Company],$A11,tblData[Fiscal year],$B11,tblData[Standard line item],"Net earnings")</f>
        <v>1</v>
      </c>
      <c r="H11" s="45">
        <f>1-SUMIFS(tblData[Amount],tblData[Company],$A11,tblData[Fiscal year],$B11,tblData[Standard line item],"Cost of sales")/SUMIFS(tblData[Amount],tblData[Company],$A11,tblData[Fiscal year],$B11,tblData[Standard line item],"Revenue")</f>
        <v>0.31347511071467693</v>
      </c>
      <c r="I11" s="45">
        <f>_xlfn.XLOOKUP($A11&amp;"|"&amp;$B11,tblPeriods[Key],tblPeriods[Company-reported gross margin],"")</f>
        <v>0.313</v>
      </c>
      <c r="J11" s="46">
        <f t="shared" si="0"/>
        <v>5.0000000000000001E-4</v>
      </c>
      <c r="K11" t="str">
        <f>IF(I11="","n/a",IF(ABS(J11)&lt;=0.0006,"Match",IF(_xlfn.XLOOKUP($A11&amp;"|"&amp;$B11,tblPeriods[Key],tblPeriods[Gross margin gap explained],"")&lt;&gt;"","Explained gap","FAIL")))</f>
        <v>Match</v>
      </c>
      <c r="L11" t="str">
        <f t="shared" si="1"/>
        <v>PASS</v>
      </c>
    </row>
    <row r="12" spans="1:12" x14ac:dyDescent="0.35">
      <c r="A12" t="s">
        <v>42</v>
      </c>
      <c r="B12">
        <v>2020</v>
      </c>
      <c r="C12">
        <f>COUNTIFS(tblData[Company],$A12,tblData[Fiscal year],$B12)</f>
        <v>19</v>
      </c>
      <c r="D12">
        <f>COUNTIFS(tblData[Company],$A12,tblData[Fiscal year],$B12,tblData[Standard line item],"UNMAPPED")</f>
        <v>0</v>
      </c>
      <c r="E12" s="31">
        <f>ROUND(SUMIFS(tblData[Amount],tblData[Company],$A12,tblData[Fiscal year],$B12,tblData[Standard line item],"Total assets")-SUMIFS(tblData[Amount],tblData[Company],$A12,tblData[Fiscal year],$B12,tblData[Standard line item],"Total liabilities")-SUMIFS(tblData[Amount],tblData[Company],$A12,tblData[Fiscal year],$B12,tblData[Standard line item],"Total equity"),1)</f>
        <v>0</v>
      </c>
      <c r="F12" s="31">
        <f>ROUND(SUMIFS(tblData[Amount],tblData[Company],$A12,tblData[Fiscal year],$B12,tblData[Standard line item],"Earnings before income taxes")-SUMIFS(tblData[Amount],tblData[Company],$A12,tblData[Fiscal year],$B12,tblData[Standard line item],"Income taxes")+SUMIFS(tblData[Amount],tblData[Company],$A12,tblData[Fiscal year],$B12,tblData[Standard line item],"Net earnings from discontinued operations")-SUMIFS(tblData[Amount],tblData[Company],$A12,tblData[Fiscal year],$B12,tblData[Standard line item],"Net earnings"),1)</f>
        <v>0</v>
      </c>
      <c r="G12" t="b">
        <f>SUMIFS(tblData[Amount],tblData[Company],$A12,tblData[Fiscal year],$B12,tblData[Standard line item],"Net earnings attributable to shareholders")&lt;=SUMIFS(tblData[Amount],tblData[Company],$A12,tblData[Fiscal year],$B12,tblData[Standard line item],"Net earnings")</f>
        <v>1</v>
      </c>
      <c r="H12" s="45">
        <f>1-SUMIFS(tblData[Amount],tblData[Company],$A12,tblData[Fiscal year],$B12,tblData[Standard line item],"Cost of sales")/SUMIFS(tblData[Amount],tblData[Company],$A12,tblData[Fiscal year],$B12,tblData[Standard line item],"Revenue")</f>
        <v>0.1990165300736213</v>
      </c>
      <c r="I12" s="45">
        <f>_xlfn.XLOOKUP($A12&amp;"|"&amp;$B12,tblPeriods[Key],tblPeriods[Company-reported gross margin],"")</f>
        <v>0.19900000000000001</v>
      </c>
      <c r="J12" s="46">
        <f t="shared" si="0"/>
        <v>0</v>
      </c>
      <c r="K12" t="str">
        <f>IF(I12="","n/a",IF(ABS(J12)&lt;=0.0006,"Match",IF(_xlfn.XLOOKUP($A12&amp;"|"&amp;$B12,tblPeriods[Key],tblPeriods[Gross margin gap explained],"")&lt;&gt;"","Explained gap","FAIL")))</f>
        <v>Match</v>
      </c>
      <c r="L12" t="str">
        <f t="shared" si="1"/>
        <v>PASS</v>
      </c>
    </row>
    <row r="13" spans="1:12" x14ac:dyDescent="0.35">
      <c r="A13" t="s">
        <v>42</v>
      </c>
      <c r="B13">
        <v>2021</v>
      </c>
      <c r="C13">
        <f>COUNTIFS(tblData[Company],$A13,tblData[Fiscal year],$B13)</f>
        <v>19</v>
      </c>
      <c r="D13">
        <f>COUNTIFS(tblData[Company],$A13,tblData[Fiscal year],$B13,tblData[Standard line item],"UNMAPPED")</f>
        <v>0</v>
      </c>
      <c r="E13" s="31">
        <f>ROUND(SUMIFS(tblData[Amount],tblData[Company],$A13,tblData[Fiscal year],$B13,tblData[Standard line item],"Total assets")-SUMIFS(tblData[Amount],tblData[Company],$A13,tblData[Fiscal year],$B13,tblData[Standard line item],"Total liabilities")-SUMIFS(tblData[Amount],tblData[Company],$A13,tblData[Fiscal year],$B13,tblData[Standard line item],"Total equity"),1)</f>
        <v>0</v>
      </c>
      <c r="F13" s="31">
        <f>ROUND(SUMIFS(tblData[Amount],tblData[Company],$A13,tblData[Fiscal year],$B13,tblData[Standard line item],"Earnings before income taxes")-SUMIFS(tblData[Amount],tblData[Company],$A13,tblData[Fiscal year],$B13,tblData[Standard line item],"Income taxes")+SUMIFS(tblData[Amount],tblData[Company],$A13,tblData[Fiscal year],$B13,tblData[Standard line item],"Net earnings from discontinued operations")-SUMIFS(tblData[Amount],tblData[Company],$A13,tblData[Fiscal year],$B13,tblData[Standard line item],"Net earnings"),1)</f>
        <v>0</v>
      </c>
      <c r="G13" t="b">
        <f>SUMIFS(tblData[Amount],tblData[Company],$A13,tblData[Fiscal year],$B13,tblData[Standard line item],"Net earnings attributable to shareholders")&lt;=SUMIFS(tblData[Amount],tblData[Company],$A13,tblData[Fiscal year],$B13,tblData[Standard line item],"Net earnings")</f>
        <v>1</v>
      </c>
      <c r="H13" s="45">
        <f>1-SUMIFS(tblData[Amount],tblData[Company],$A13,tblData[Fiscal year],$B13,tblData[Standard line item],"Cost of sales")/SUMIFS(tblData[Amount],tblData[Company],$A13,tblData[Fiscal year],$B13,tblData[Standard line item],"Revenue")</f>
        <v>0.19990154788601433</v>
      </c>
      <c r="I13" s="45">
        <f>_xlfn.XLOOKUP($A13&amp;"|"&amp;$B13,tblPeriods[Key],tblPeriods[Company-reported gross margin],"")</f>
        <v>0.2</v>
      </c>
      <c r="J13" s="46">
        <f t="shared" si="0"/>
        <v>-1E-4</v>
      </c>
      <c r="K13" t="str">
        <f>IF(I13="","n/a",IF(ABS(J13)&lt;=0.0006,"Match",IF(_xlfn.XLOOKUP($A13&amp;"|"&amp;$B13,tblPeriods[Key],tblPeriods[Gross margin gap explained],"")&lt;&gt;"","Explained gap","FAIL")))</f>
        <v>Match</v>
      </c>
      <c r="L13" t="str">
        <f t="shared" si="1"/>
        <v>PASS</v>
      </c>
    </row>
    <row r="14" spans="1:12" x14ac:dyDescent="0.35">
      <c r="A14" t="s">
        <v>42</v>
      </c>
      <c r="B14">
        <v>2022</v>
      </c>
      <c r="C14">
        <f>COUNTIFS(tblData[Company],$A14,tblData[Fiscal year],$B14)</f>
        <v>19</v>
      </c>
      <c r="D14">
        <f>COUNTIFS(tblData[Company],$A14,tblData[Fiscal year],$B14,tblData[Standard line item],"UNMAPPED")</f>
        <v>0</v>
      </c>
      <c r="E14" s="31">
        <f>ROUND(SUMIFS(tblData[Amount],tblData[Company],$A14,tblData[Fiscal year],$B14,tblData[Standard line item],"Total assets")-SUMIFS(tblData[Amount],tblData[Company],$A14,tblData[Fiscal year],$B14,tblData[Standard line item],"Total liabilities")-SUMIFS(tblData[Amount],tblData[Company],$A14,tblData[Fiscal year],$B14,tblData[Standard line item],"Total equity"),1)</f>
        <v>0</v>
      </c>
      <c r="F14" s="31">
        <f>ROUND(SUMIFS(tblData[Amount],tblData[Company],$A14,tblData[Fiscal year],$B14,tblData[Standard line item],"Earnings before income taxes")-SUMIFS(tblData[Amount],tblData[Company],$A14,tblData[Fiscal year],$B14,tblData[Standard line item],"Income taxes")+SUMIFS(tblData[Amount],tblData[Company],$A14,tblData[Fiscal year],$B14,tblData[Standard line item],"Net earnings from discontinued operations")-SUMIFS(tblData[Amount],tblData[Company],$A14,tblData[Fiscal year],$B14,tblData[Standard line item],"Net earnings"),1)</f>
        <v>0</v>
      </c>
      <c r="G14" t="b">
        <f>SUMIFS(tblData[Amount],tblData[Company],$A14,tblData[Fiscal year],$B14,tblData[Standard line item],"Net earnings attributable to shareholders")&lt;=SUMIFS(tblData[Amount],tblData[Company],$A14,tblData[Fiscal year],$B14,tblData[Standard line item],"Net earnings")</f>
        <v>1</v>
      </c>
      <c r="H14" s="45">
        <f>1-SUMIFS(tblData[Amount],tblData[Company],$A14,tblData[Fiscal year],$B14,tblData[Standard line item],"Cost of sales")/SUMIFS(tblData[Amount],tblData[Company],$A14,tblData[Fiscal year],$B14,tblData[Standard line item],"Revenue")</f>
        <v>0.20029223512221472</v>
      </c>
      <c r="I14" s="45">
        <f>_xlfn.XLOOKUP($A14&amp;"|"&amp;$B14,tblPeriods[Key],tblPeriods[Company-reported gross margin],"")</f>
        <v>0.2</v>
      </c>
      <c r="J14" s="46">
        <f t="shared" si="0"/>
        <v>2.9999999999999997E-4</v>
      </c>
      <c r="K14" t="str">
        <f>IF(I14="","n/a",IF(ABS(J14)&lt;=0.0006,"Match",IF(_xlfn.XLOOKUP($A14&amp;"|"&amp;$B14,tblPeriods[Key],tblPeriods[Gross margin gap explained],"")&lt;&gt;"","Explained gap","FAIL")))</f>
        <v>Match</v>
      </c>
      <c r="L14" t="str">
        <f t="shared" si="1"/>
        <v>PASS</v>
      </c>
    </row>
    <row r="15" spans="1:12" x14ac:dyDescent="0.35">
      <c r="A15" t="s">
        <v>42</v>
      </c>
      <c r="B15">
        <v>2023</v>
      </c>
      <c r="C15">
        <f>COUNTIFS(tblData[Company],$A15,tblData[Fiscal year],$B15)</f>
        <v>19</v>
      </c>
      <c r="D15">
        <f>COUNTIFS(tblData[Company],$A15,tblData[Fiscal year],$B15,tblData[Standard line item],"UNMAPPED")</f>
        <v>0</v>
      </c>
      <c r="E15" s="31">
        <f>ROUND(SUMIFS(tblData[Amount],tblData[Company],$A15,tblData[Fiscal year],$B15,tblData[Standard line item],"Total assets")-SUMIFS(tblData[Amount],tblData[Company],$A15,tblData[Fiscal year],$B15,tblData[Standard line item],"Total liabilities")-SUMIFS(tblData[Amount],tblData[Company],$A15,tblData[Fiscal year],$B15,tblData[Standard line item],"Total equity"),1)</f>
        <v>0</v>
      </c>
      <c r="F15" s="31">
        <f>ROUND(SUMIFS(tblData[Amount],tblData[Company],$A15,tblData[Fiscal year],$B15,tblData[Standard line item],"Earnings before income taxes")-SUMIFS(tblData[Amount],tblData[Company],$A15,tblData[Fiscal year],$B15,tblData[Standard line item],"Income taxes")+SUMIFS(tblData[Amount],tblData[Company],$A15,tblData[Fiscal year],$B15,tblData[Standard line item],"Net earnings from discontinued operations")-SUMIFS(tblData[Amount],tblData[Company],$A15,tblData[Fiscal year],$B15,tblData[Standard line item],"Net earnings"),1)</f>
        <v>0</v>
      </c>
      <c r="G15" t="b">
        <f>SUMIFS(tblData[Amount],tblData[Company],$A15,tblData[Fiscal year],$B15,tblData[Standard line item],"Net earnings attributable to shareholders")&lt;=SUMIFS(tblData[Amount],tblData[Company],$A15,tblData[Fiscal year],$B15,tblData[Standard line item],"Net earnings")</f>
        <v>1</v>
      </c>
      <c r="H15" s="45">
        <f>1-SUMIFS(tblData[Amount],tblData[Company],$A15,tblData[Fiscal year],$B15,tblData[Standard line item],"Cost of sales")/SUMIFS(tblData[Amount],tblData[Company],$A15,tblData[Fiscal year],$B15,tblData[Standard line item],"Revenue")</f>
        <v>0.19697364484718627</v>
      </c>
      <c r="I15" s="45">
        <f>_xlfn.XLOOKUP($A15&amp;"|"&amp;$B15,tblPeriods[Key],tblPeriods[Company-reported gross margin],"")</f>
        <v>0.19700000000000001</v>
      </c>
      <c r="J15" s="46">
        <f t="shared" si="0"/>
        <v>0</v>
      </c>
      <c r="K15" t="str">
        <f>IF(I15="","n/a",IF(ABS(J15)&lt;=0.0006,"Match",IF(_xlfn.XLOOKUP($A15&amp;"|"&amp;$B15,tblPeriods[Key],tblPeriods[Gross margin gap explained],"")&lt;&gt;"","Explained gap","FAIL")))</f>
        <v>Match</v>
      </c>
      <c r="L15" t="str">
        <f t="shared" si="1"/>
        <v>PASS</v>
      </c>
    </row>
    <row r="16" spans="1:12" x14ac:dyDescent="0.35">
      <c r="A16" t="s">
        <v>42</v>
      </c>
      <c r="B16">
        <v>2024</v>
      </c>
      <c r="C16">
        <f>COUNTIFS(tblData[Company],$A16,tblData[Fiscal year],$B16)</f>
        <v>19</v>
      </c>
      <c r="D16">
        <f>COUNTIFS(tblData[Company],$A16,tblData[Fiscal year],$B16,tblData[Standard line item],"UNMAPPED")</f>
        <v>0</v>
      </c>
      <c r="E16" s="31">
        <f>ROUND(SUMIFS(tblData[Amount],tblData[Company],$A16,tblData[Fiscal year],$B16,tblData[Standard line item],"Total assets")-SUMIFS(tblData[Amount],tblData[Company],$A16,tblData[Fiscal year],$B16,tblData[Standard line item],"Total liabilities")-SUMIFS(tblData[Amount],tblData[Company],$A16,tblData[Fiscal year],$B16,tblData[Standard line item],"Total equity"),1)</f>
        <v>0</v>
      </c>
      <c r="F16" s="31">
        <f>ROUND(SUMIFS(tblData[Amount],tblData[Company],$A16,tblData[Fiscal year],$B16,tblData[Standard line item],"Earnings before income taxes")-SUMIFS(tblData[Amount],tblData[Company],$A16,tblData[Fiscal year],$B16,tblData[Standard line item],"Income taxes")+SUMIFS(tblData[Amount],tblData[Company],$A16,tblData[Fiscal year],$B16,tblData[Standard line item],"Net earnings from discontinued operations")-SUMIFS(tblData[Amount],tblData[Company],$A16,tblData[Fiscal year],$B16,tblData[Standard line item],"Net earnings"),1)</f>
        <v>0</v>
      </c>
      <c r="G16" t="b">
        <f>SUMIFS(tblData[Amount],tblData[Company],$A16,tblData[Fiscal year],$B16,tblData[Standard line item],"Net earnings attributable to shareholders")&lt;=SUMIFS(tblData[Amount],tblData[Company],$A16,tblData[Fiscal year],$B16,tblData[Standard line item],"Net earnings")</f>
        <v>1</v>
      </c>
      <c r="H16" s="45">
        <f>1-SUMIFS(tblData[Amount],tblData[Company],$A16,tblData[Fiscal year],$B16,tblData[Standard line item],"Cost of sales")/SUMIFS(tblData[Amount],tblData[Company],$A16,tblData[Fiscal year],$B16,tblData[Standard line item],"Revenue")</f>
        <v>0.19695191777529597</v>
      </c>
      <c r="I16" s="45">
        <f>_xlfn.XLOOKUP($A16&amp;"|"&amp;$B16,tblPeriods[Key],tblPeriods[Company-reported gross margin],"")</f>
        <v>0.19700000000000001</v>
      </c>
      <c r="J16" s="46">
        <f t="shared" si="0"/>
        <v>0</v>
      </c>
      <c r="K16" t="str">
        <f>IF(I16="","n/a",IF(ABS(J16)&lt;=0.0006,"Match",IF(_xlfn.XLOOKUP($A16&amp;"|"&amp;$B16,tblPeriods[Key],tblPeriods[Gross margin gap explained],"")&lt;&gt;"","Explained gap","FAIL")))</f>
        <v>Match</v>
      </c>
      <c r="L16" t="str">
        <f t="shared" si="1"/>
        <v>PASS</v>
      </c>
    </row>
    <row r="17" spans="1:12" x14ac:dyDescent="0.35">
      <c r="A17" t="s">
        <v>42</v>
      </c>
      <c r="B17">
        <v>2025</v>
      </c>
      <c r="C17">
        <f>COUNTIFS(tblData[Company],$A17,tblData[Fiscal year],$B17)</f>
        <v>19</v>
      </c>
      <c r="D17">
        <f>COUNTIFS(tblData[Company],$A17,tblData[Fiscal year],$B17,tblData[Standard line item],"UNMAPPED")</f>
        <v>0</v>
      </c>
      <c r="E17" s="31">
        <f>ROUND(SUMIFS(tblData[Amount],tblData[Company],$A17,tblData[Fiscal year],$B17,tblData[Standard line item],"Total assets")-SUMIFS(tblData[Amount],tblData[Company],$A17,tblData[Fiscal year],$B17,tblData[Standard line item],"Total liabilities")-SUMIFS(tblData[Amount],tblData[Company],$A17,tblData[Fiscal year],$B17,tblData[Standard line item],"Total equity"),1)</f>
        <v>0</v>
      </c>
      <c r="F17" s="31">
        <f>ROUND(SUMIFS(tblData[Amount],tblData[Company],$A17,tblData[Fiscal year],$B17,tblData[Standard line item],"Earnings before income taxes")-SUMIFS(tblData[Amount],tblData[Company],$A17,tblData[Fiscal year],$B17,tblData[Standard line item],"Income taxes")+SUMIFS(tblData[Amount],tblData[Company],$A17,tblData[Fiscal year],$B17,tblData[Standard line item],"Net earnings from discontinued operations")-SUMIFS(tblData[Amount],tblData[Company],$A17,tblData[Fiscal year],$B17,tblData[Standard line item],"Net earnings"),1)</f>
        <v>0</v>
      </c>
      <c r="G17" t="b">
        <f>SUMIFS(tblData[Amount],tblData[Company],$A17,tblData[Fiscal year],$B17,tblData[Standard line item],"Net earnings attributable to shareholders")&lt;=SUMIFS(tblData[Amount],tblData[Company],$A17,tblData[Fiscal year],$B17,tblData[Standard line item],"Net earnings")</f>
        <v>1</v>
      </c>
      <c r="H17" s="45">
        <f>1-SUMIFS(tblData[Amount],tblData[Company],$A17,tblData[Fiscal year],$B17,tblData[Standard line item],"Cost of sales")/SUMIFS(tblData[Amount],tblData[Company],$A17,tblData[Fiscal year],$B17,tblData[Standard line item],"Revenue")</f>
        <v>0.19858952046422218</v>
      </c>
      <c r="I17" s="45">
        <f>_xlfn.XLOOKUP($A17&amp;"|"&amp;$B17,tblPeriods[Key],tblPeriods[Company-reported gross margin],"")</f>
        <v>0.19900000000000001</v>
      </c>
      <c r="J17" s="46">
        <f t="shared" si="0"/>
        <v>-4.0000000000000002E-4</v>
      </c>
      <c r="K17" t="str">
        <f>IF(I17="","n/a",IF(ABS(J17)&lt;=0.0006,"Match",IF(_xlfn.XLOOKUP($A17&amp;"|"&amp;$B17,tblPeriods[Key],tblPeriods[Gross margin gap explained],"")&lt;&gt;"","Explained gap","FAIL")))</f>
        <v>Match</v>
      </c>
      <c r="L17" t="str">
        <f t="shared" si="1"/>
        <v>PASS</v>
      </c>
    </row>
    <row r="18" spans="1:12" x14ac:dyDescent="0.35">
      <c r="A18" t="s">
        <v>61</v>
      </c>
      <c r="B18">
        <v>2020</v>
      </c>
      <c r="C18">
        <f>COUNTIFS(tblData[Company],$A18,tblData[Fiscal year],$B18)</f>
        <v>19</v>
      </c>
      <c r="D18">
        <f>COUNTIFS(tblData[Company],$A18,tblData[Fiscal year],$B18,tblData[Standard line item],"UNMAPPED")</f>
        <v>0</v>
      </c>
      <c r="E18" s="31">
        <f>ROUND(SUMIFS(tblData[Amount],tblData[Company],$A18,tblData[Fiscal year],$B18,tblData[Standard line item],"Total assets")-SUMIFS(tblData[Amount],tblData[Company],$A18,tblData[Fiscal year],$B18,tblData[Standard line item],"Total liabilities")-SUMIFS(tblData[Amount],tblData[Company],$A18,tblData[Fiscal year],$B18,tblData[Standard line item],"Total equity"),1)</f>
        <v>0</v>
      </c>
      <c r="F18" s="31">
        <f>ROUND(SUMIFS(tblData[Amount],tblData[Company],$A18,tblData[Fiscal year],$B18,tblData[Standard line item],"Earnings before income taxes")-SUMIFS(tblData[Amount],tblData[Company],$A18,tblData[Fiscal year],$B18,tblData[Standard line item],"Income taxes")+SUMIFS(tblData[Amount],tblData[Company],$A18,tblData[Fiscal year],$B18,tblData[Standard line item],"Net earnings from discontinued operations")-SUMIFS(tblData[Amount],tblData[Company],$A18,tblData[Fiscal year],$B18,tblData[Standard line item],"Net earnings"),1)</f>
        <v>0</v>
      </c>
      <c r="G18" t="b">
        <f>SUMIFS(tblData[Amount],tblData[Company],$A18,tblData[Fiscal year],$B18,tblData[Standard line item],"Net earnings attributable to shareholders")&lt;=SUMIFS(tblData[Amount],tblData[Company],$A18,tblData[Fiscal year],$B18,tblData[Standard line item],"Net earnings")</f>
        <v>1</v>
      </c>
      <c r="H18" s="45">
        <f>1-SUMIFS(tblData[Amount],tblData[Company],$A18,tblData[Fiscal year],$B18,tblData[Standard line item],"Cost of sales")/SUMIFS(tblData[Amount],tblData[Company],$A18,tblData[Fiscal year],$B18,tblData[Standard line item],"Revenue")</f>
        <v>0.24948285329582287</v>
      </c>
      <c r="I18" s="45">
        <f>_xlfn.XLOOKUP($A18&amp;"|"&amp;$B18,tblPeriods[Key],tblPeriods[Company-reported gross margin],"")</f>
        <v>0.249</v>
      </c>
      <c r="J18" s="46">
        <f t="shared" si="0"/>
        <v>5.0000000000000001E-4</v>
      </c>
      <c r="K18" t="str">
        <f>IF(I18="","n/a",IF(ABS(J18)&lt;=0.0006,"Match",IF(_xlfn.XLOOKUP($A18&amp;"|"&amp;$B18,tblPeriods[Key],tblPeriods[Gross margin gap explained],"")&lt;&gt;"","Explained gap","FAIL")))</f>
        <v>Match</v>
      </c>
      <c r="L18" t="str">
        <f t="shared" si="1"/>
        <v>PASS</v>
      </c>
    </row>
    <row r="19" spans="1:12" x14ac:dyDescent="0.35">
      <c r="A19" t="s">
        <v>61</v>
      </c>
      <c r="B19">
        <v>2021</v>
      </c>
      <c r="C19">
        <f>COUNTIFS(tblData[Company],$A19,tblData[Fiscal year],$B19)</f>
        <v>19</v>
      </c>
      <c r="D19">
        <f>COUNTIFS(tblData[Company],$A19,tblData[Fiscal year],$B19,tblData[Standard line item],"UNMAPPED")</f>
        <v>0</v>
      </c>
      <c r="E19" s="31">
        <f>ROUND(SUMIFS(tblData[Amount],tblData[Company],$A19,tblData[Fiscal year],$B19,tblData[Standard line item],"Total assets")-SUMIFS(tblData[Amount],tblData[Company],$A19,tblData[Fiscal year],$B19,tblData[Standard line item],"Total liabilities")-SUMIFS(tblData[Amount],tblData[Company],$A19,tblData[Fiscal year],$B19,tblData[Standard line item],"Total equity"),1)</f>
        <v>0</v>
      </c>
      <c r="F19" s="31">
        <f>ROUND(SUMIFS(tblData[Amount],tblData[Company],$A19,tblData[Fiscal year],$B19,tblData[Standard line item],"Earnings before income taxes")-SUMIFS(tblData[Amount],tblData[Company],$A19,tblData[Fiscal year],$B19,tblData[Standard line item],"Income taxes")+SUMIFS(tblData[Amount],tblData[Company],$A19,tblData[Fiscal year],$B19,tblData[Standard line item],"Net earnings from discontinued operations")-SUMIFS(tblData[Amount],tblData[Company],$A19,tblData[Fiscal year],$B19,tblData[Standard line item],"Net earnings"),1)</f>
        <v>0</v>
      </c>
      <c r="G19" t="b">
        <f>SUMIFS(tblData[Amount],tblData[Company],$A19,tblData[Fiscal year],$B19,tblData[Standard line item],"Net earnings attributable to shareholders")&lt;=SUMIFS(tblData[Amount],tblData[Company],$A19,tblData[Fiscal year],$B19,tblData[Standard line item],"Net earnings")</f>
        <v>1</v>
      </c>
      <c r="H19" s="45">
        <f>1-SUMIFS(tblData[Amount],tblData[Company],$A19,tblData[Fiscal year],$B19,tblData[Standard line item],"Cost of sales")/SUMIFS(tblData[Amount],tblData[Company],$A19,tblData[Fiscal year],$B19,tblData[Standard line item],"Revenue")</f>
        <v>0.2546775009462896</v>
      </c>
      <c r="I19" s="45">
        <f>_xlfn.XLOOKUP($A19&amp;"|"&amp;$B19,tblPeriods[Key],tblPeriods[Company-reported gross margin],"")</f>
        <v>0.255</v>
      </c>
      <c r="J19" s="46">
        <f t="shared" si="0"/>
        <v>-2.9999999999999997E-4</v>
      </c>
      <c r="K19" t="str">
        <f>IF(I19="","n/a",IF(ABS(J19)&lt;=0.0006,"Match",IF(_xlfn.XLOOKUP($A19&amp;"|"&amp;$B19,tblPeriods[Key],tblPeriods[Gross margin gap explained],"")&lt;&gt;"","Explained gap","FAIL")))</f>
        <v>Match</v>
      </c>
      <c r="L19" t="str">
        <f t="shared" si="1"/>
        <v>PASS</v>
      </c>
    </row>
    <row r="20" spans="1:12" x14ac:dyDescent="0.35">
      <c r="A20" t="s">
        <v>61</v>
      </c>
      <c r="B20">
        <v>2022</v>
      </c>
      <c r="C20">
        <f>COUNTIFS(tblData[Company],$A20,tblData[Fiscal year],$B20)</f>
        <v>19</v>
      </c>
      <c r="D20">
        <f>COUNTIFS(tblData[Company],$A20,tblData[Fiscal year],$B20,tblData[Standard line item],"UNMAPPED")</f>
        <v>0</v>
      </c>
      <c r="E20" s="31">
        <f>ROUND(SUMIFS(tblData[Amount],tblData[Company],$A20,tblData[Fiscal year],$B20,tblData[Standard line item],"Total assets")-SUMIFS(tblData[Amount],tblData[Company],$A20,tblData[Fiscal year],$B20,tblData[Standard line item],"Total liabilities")-SUMIFS(tblData[Amount],tblData[Company],$A20,tblData[Fiscal year],$B20,tblData[Standard line item],"Total equity"),1)</f>
        <v>0</v>
      </c>
      <c r="F20" s="31">
        <f>ROUND(SUMIFS(tblData[Amount],tblData[Company],$A20,tblData[Fiscal year],$B20,tblData[Standard line item],"Earnings before income taxes")-SUMIFS(tblData[Amount],tblData[Company],$A20,tblData[Fiscal year],$B20,tblData[Standard line item],"Income taxes")+SUMIFS(tblData[Amount],tblData[Company],$A20,tblData[Fiscal year],$B20,tblData[Standard line item],"Net earnings from discontinued operations")-SUMIFS(tblData[Amount],tblData[Company],$A20,tblData[Fiscal year],$B20,tblData[Standard line item],"Net earnings"),1)</f>
        <v>0</v>
      </c>
      <c r="G20" t="b">
        <f>SUMIFS(tblData[Amount],tblData[Company],$A20,tblData[Fiscal year],$B20,tblData[Standard line item],"Net earnings attributable to shareholders")&lt;=SUMIFS(tblData[Amount],tblData[Company],$A20,tblData[Fiscal year],$B20,tblData[Standard line item],"Net earnings")</f>
        <v>1</v>
      </c>
      <c r="H20" s="45">
        <f>1-SUMIFS(tblData[Amount],tblData[Company],$A20,tblData[Fiscal year],$B20,tblData[Standard line item],"Cost of sales")/SUMIFS(tblData[Amount],tblData[Company],$A20,tblData[Fiscal year],$B20,tblData[Standard line item],"Revenue")</f>
        <v>0.25394862477786917</v>
      </c>
      <c r="I20" s="45">
        <f>_xlfn.XLOOKUP($A20&amp;"|"&amp;$B20,tblPeriods[Key],tblPeriods[Company-reported gross margin],"")</f>
        <v>0.254</v>
      </c>
      <c r="J20" s="46">
        <f t="shared" si="0"/>
        <v>-1E-4</v>
      </c>
      <c r="K20" t="str">
        <f>IF(I20="","n/a",IF(ABS(J20)&lt;=0.0006,"Match",IF(_xlfn.XLOOKUP($A20&amp;"|"&amp;$B20,tblPeriods[Key],tblPeriods[Gross margin gap explained],"")&lt;&gt;"","Explained gap","FAIL")))</f>
        <v>Match</v>
      </c>
      <c r="L20" t="str">
        <f t="shared" si="1"/>
        <v>PASS</v>
      </c>
    </row>
    <row r="21" spans="1:12" x14ac:dyDescent="0.35">
      <c r="A21" t="s">
        <v>61</v>
      </c>
      <c r="B21">
        <v>2023</v>
      </c>
      <c r="C21">
        <f>COUNTIFS(tblData[Company],$A21,tblData[Fiscal year],$B21)</f>
        <v>19</v>
      </c>
      <c r="D21">
        <f>COUNTIFS(tblData[Company],$A21,tblData[Fiscal year],$B21,tblData[Standard line item],"UNMAPPED")</f>
        <v>0</v>
      </c>
      <c r="E21" s="31">
        <f>ROUND(SUMIFS(tblData[Amount],tblData[Company],$A21,tblData[Fiscal year],$B21,tblData[Standard line item],"Total assets")-SUMIFS(tblData[Amount],tblData[Company],$A21,tblData[Fiscal year],$B21,tblData[Standard line item],"Total liabilities")-SUMIFS(tblData[Amount],tblData[Company],$A21,tblData[Fiscal year],$B21,tblData[Standard line item],"Total equity"),1)</f>
        <v>0</v>
      </c>
      <c r="F21" s="31">
        <f>ROUND(SUMIFS(tblData[Amount],tblData[Company],$A21,tblData[Fiscal year],$B21,tblData[Standard line item],"Earnings before income taxes")-SUMIFS(tblData[Amount],tblData[Company],$A21,tblData[Fiscal year],$B21,tblData[Standard line item],"Income taxes")+SUMIFS(tblData[Amount],tblData[Company],$A21,tblData[Fiscal year],$B21,tblData[Standard line item],"Net earnings from discontinued operations")-SUMIFS(tblData[Amount],tblData[Company],$A21,tblData[Fiscal year],$B21,tblData[Standard line item],"Net earnings"),1)</f>
        <v>0</v>
      </c>
      <c r="G21" t="b">
        <f>SUMIFS(tblData[Amount],tblData[Company],$A21,tblData[Fiscal year],$B21,tblData[Standard line item],"Net earnings attributable to shareholders")&lt;=SUMIFS(tblData[Amount],tblData[Company],$A21,tblData[Fiscal year],$B21,tblData[Standard line item],"Net earnings")</f>
        <v>1</v>
      </c>
      <c r="H21" s="45">
        <f>1-SUMIFS(tblData[Amount],tblData[Company],$A21,tblData[Fiscal year],$B21,tblData[Standard line item],"Cost of sales")/SUMIFS(tblData[Amount],tblData[Company],$A21,tblData[Fiscal year],$B21,tblData[Standard line item],"Revenue")</f>
        <v>0.25568194867790306</v>
      </c>
      <c r="I21" s="45">
        <f>_xlfn.XLOOKUP($A21&amp;"|"&amp;$B21,tblPeriods[Key],tblPeriods[Company-reported gross margin],"")</f>
        <v>0.25600000000000001</v>
      </c>
      <c r="J21" s="46">
        <f t="shared" si="0"/>
        <v>-2.9999999999999997E-4</v>
      </c>
      <c r="K21" t="str">
        <f>IF(I21="","n/a",IF(ABS(J21)&lt;=0.0006,"Match",IF(_xlfn.XLOOKUP($A21&amp;"|"&amp;$B21,tblPeriods[Key],tblPeriods[Gross margin gap explained],"")&lt;&gt;"","Explained gap","FAIL")))</f>
        <v>Match</v>
      </c>
      <c r="L21" t="str">
        <f t="shared" si="1"/>
        <v>PASS</v>
      </c>
    </row>
    <row r="22" spans="1:12" x14ac:dyDescent="0.35">
      <c r="A22" t="s">
        <v>61</v>
      </c>
      <c r="B22">
        <v>2024</v>
      </c>
      <c r="C22">
        <f>COUNTIFS(tblData[Company],$A22,tblData[Fiscal year],$B22)</f>
        <v>19</v>
      </c>
      <c r="D22">
        <f>COUNTIFS(tblData[Company],$A22,tblData[Fiscal year],$B22,tblData[Standard line item],"UNMAPPED")</f>
        <v>0</v>
      </c>
      <c r="E22" s="31">
        <f>ROUND(SUMIFS(tblData[Amount],tblData[Company],$A22,tblData[Fiscal year],$B22,tblData[Standard line item],"Total assets")-SUMIFS(tblData[Amount],tblData[Company],$A22,tblData[Fiscal year],$B22,tblData[Standard line item],"Total liabilities")-SUMIFS(tblData[Amount],tblData[Company],$A22,tblData[Fiscal year],$B22,tblData[Standard line item],"Total equity"),1)</f>
        <v>0</v>
      </c>
      <c r="F22" s="31">
        <f>ROUND(SUMIFS(tblData[Amount],tblData[Company],$A22,tblData[Fiscal year],$B22,tblData[Standard line item],"Earnings before income taxes")-SUMIFS(tblData[Amount],tblData[Company],$A22,tblData[Fiscal year],$B22,tblData[Standard line item],"Income taxes")+SUMIFS(tblData[Amount],tblData[Company],$A22,tblData[Fiscal year],$B22,tblData[Standard line item],"Net earnings from discontinued operations")-SUMIFS(tblData[Amount],tblData[Company],$A22,tblData[Fiscal year],$B22,tblData[Standard line item],"Net earnings"),1)</f>
        <v>0</v>
      </c>
      <c r="G22" t="b">
        <f>SUMIFS(tblData[Amount],tblData[Company],$A22,tblData[Fiscal year],$B22,tblData[Standard line item],"Net earnings attributable to shareholders")&lt;=SUMIFS(tblData[Amount],tblData[Company],$A22,tblData[Fiscal year],$B22,tblData[Standard line item],"Net earnings")</f>
        <v>1</v>
      </c>
      <c r="H22" s="45">
        <f>1-SUMIFS(tblData[Amount],tblData[Company],$A22,tblData[Fiscal year],$B22,tblData[Standard line item],"Cost of sales")/SUMIFS(tblData[Amount],tblData[Company],$A22,tblData[Fiscal year],$B22,tblData[Standard line item],"Revenue")</f>
        <v>0.26261673120098916</v>
      </c>
      <c r="I22" s="45">
        <f>_xlfn.XLOOKUP($A22&amp;"|"&amp;$B22,tblPeriods[Key],tblPeriods[Company-reported gross margin],"")</f>
        <v>0.26300000000000001</v>
      </c>
      <c r="J22" s="46">
        <f t="shared" si="0"/>
        <v>-4.0000000000000002E-4</v>
      </c>
      <c r="K22" t="str">
        <f>IF(I22="","n/a",IF(ABS(J22)&lt;=0.0006,"Match",IF(_xlfn.XLOOKUP($A22&amp;"|"&amp;$B22,tblPeriods[Key],tblPeriods[Gross margin gap explained],"")&lt;&gt;"","Explained gap","FAIL")))</f>
        <v>Match</v>
      </c>
      <c r="L22" t="str">
        <f t="shared" si="1"/>
        <v>PASS</v>
      </c>
    </row>
    <row r="23" spans="1:12" x14ac:dyDescent="0.35">
      <c r="A23" t="s">
        <v>61</v>
      </c>
      <c r="B23">
        <v>2025</v>
      </c>
      <c r="C23">
        <f>COUNTIFS(tblData[Company],$A23,tblData[Fiscal year],$B23)</f>
        <v>19</v>
      </c>
      <c r="D23">
        <f>COUNTIFS(tblData[Company],$A23,tblData[Fiscal year],$B23,tblData[Standard line item],"UNMAPPED")</f>
        <v>0</v>
      </c>
      <c r="E23" s="31">
        <f>ROUND(SUMIFS(tblData[Amount],tblData[Company],$A23,tblData[Fiscal year],$B23,tblData[Standard line item],"Total assets")-SUMIFS(tblData[Amount],tblData[Company],$A23,tblData[Fiscal year],$B23,tblData[Standard line item],"Total liabilities")-SUMIFS(tblData[Amount],tblData[Company],$A23,tblData[Fiscal year],$B23,tblData[Standard line item],"Total equity"),1)</f>
        <v>0</v>
      </c>
      <c r="F23" s="31">
        <f>ROUND(SUMIFS(tblData[Amount],tblData[Company],$A23,tblData[Fiscal year],$B23,tblData[Standard line item],"Earnings before income taxes")-SUMIFS(tblData[Amount],tblData[Company],$A23,tblData[Fiscal year],$B23,tblData[Standard line item],"Income taxes")+SUMIFS(tblData[Amount],tblData[Company],$A23,tblData[Fiscal year],$B23,tblData[Standard line item],"Net earnings from discontinued operations")-SUMIFS(tblData[Amount],tblData[Company],$A23,tblData[Fiscal year],$B23,tblData[Standard line item],"Net earnings"),1)</f>
        <v>0</v>
      </c>
      <c r="G23" t="b">
        <f>SUMIFS(tblData[Amount],tblData[Company],$A23,tblData[Fiscal year],$B23,tblData[Standard line item],"Net earnings attributable to shareholders")&lt;=SUMIFS(tblData[Amount],tblData[Company],$A23,tblData[Fiscal year],$B23,tblData[Standard line item],"Net earnings")</f>
        <v>1</v>
      </c>
      <c r="H23" s="45">
        <f>1-SUMIFS(tblData[Amount],tblData[Company],$A23,tblData[Fiscal year],$B23,tblData[Standard line item],"Cost of sales")/SUMIFS(tblData[Amount],tblData[Company],$A23,tblData[Fiscal year],$B23,tblData[Standard line item],"Revenue")</f>
        <v>0.26799245451929532</v>
      </c>
      <c r="I23" s="45">
        <f>_xlfn.XLOOKUP($A23&amp;"|"&amp;$B23,tblPeriods[Key],tblPeriods[Company-reported gross margin],"")</f>
        <v>0.26800000000000002</v>
      </c>
      <c r="J23" s="46">
        <f t="shared" si="0"/>
        <v>0</v>
      </c>
      <c r="K23" t="str">
        <f>IF(I23="","n/a",IF(ABS(J23)&lt;=0.0006,"Match",IF(_xlfn.XLOOKUP($A23&amp;"|"&amp;$B23,tblPeriods[Key],tblPeriods[Gross margin gap explained],"")&lt;&gt;"","Explained gap","FAIL")))</f>
        <v>Match</v>
      </c>
      <c r="L23" t="str">
        <f t="shared" si="1"/>
        <v>PASS</v>
      </c>
    </row>
    <row r="25" spans="1:12" x14ac:dyDescent="0.35">
      <c r="A25" s="10" t="s">
        <v>202</v>
      </c>
    </row>
    <row r="26" spans="1:12" x14ac:dyDescent="0.35">
      <c r="A26" t="s">
        <v>203</v>
      </c>
    </row>
    <row r="27" spans="1:12" x14ac:dyDescent="0.35">
      <c r="A27" t="s">
        <v>204</v>
      </c>
    </row>
    <row r="28" spans="1:12" x14ac:dyDescent="0.35">
      <c r="A28" t="s">
        <v>205</v>
      </c>
    </row>
    <row r="29" spans="1:12" x14ac:dyDescent="0.35">
      <c r="A29" t="s">
        <v>206</v>
      </c>
    </row>
    <row r="30" spans="1:12" x14ac:dyDescent="0.35">
      <c r="A30" t="s">
        <v>207</v>
      </c>
    </row>
    <row r="31" spans="1:12" x14ac:dyDescent="0.35">
      <c r="A31" t="s">
        <v>208</v>
      </c>
    </row>
    <row r="32" spans="1:12" x14ac:dyDescent="0.35">
      <c r="A32" t="s">
        <v>209</v>
      </c>
    </row>
  </sheetData>
  <phoneticPr fontId="4" type="noConversion"/>
  <conditionalFormatting sqref="B3">
    <cfRule type="expression" dxfId="8" priority="1" stopIfTrue="1">
      <formula>LEFT($B$3,4)="PASS"</formula>
    </cfRule>
    <cfRule type="expression" dxfId="7" priority="2" stopIfTrue="1">
      <formula>LEFT($B$3,4)="FAIL"</formula>
    </cfRule>
  </conditionalFormatting>
  <conditionalFormatting sqref="E6:F23">
    <cfRule type="expression" dxfId="6" priority="8" stopIfTrue="1">
      <formula>E6&lt;&gt;0</formula>
    </cfRule>
  </conditionalFormatting>
  <conditionalFormatting sqref="K6:K23">
    <cfRule type="expression" dxfId="5" priority="5" stopIfTrue="1">
      <formula>$K6="Match"</formula>
    </cfRule>
    <cfRule type="expression" dxfId="4" priority="6" stopIfTrue="1">
      <formula>$K6="Explained gap"</formula>
    </cfRule>
    <cfRule type="expression" dxfId="3" priority="7" stopIfTrue="1">
      <formula>$K6="FAIL"</formula>
    </cfRule>
  </conditionalFormatting>
  <conditionalFormatting sqref="L6:L23">
    <cfRule type="expression" dxfId="2" priority="3" stopIfTrue="1">
      <formula>$L6="PASS"</formula>
    </cfRule>
    <cfRule type="expression" dxfId="1" priority="4" stopIfTrue="1">
      <formula>$L6="FAIL"</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7027D-5636-43E8-BB65-651C778746D3}">
  <sheetPr>
    <tabColor rgb="FF0046BE"/>
  </sheetPr>
  <dimension ref="A1:I347"/>
  <sheetViews>
    <sheetView workbookViewId="0"/>
  </sheetViews>
  <sheetFormatPr defaultRowHeight="14.5" x14ac:dyDescent="0.35"/>
  <cols>
    <col min="1" max="1" width="11.6328125" customWidth="1"/>
    <col min="2" max="2" width="13.6328125" customWidth="1"/>
    <col min="3" max="3" width="12.6328125" customWidth="1"/>
    <col min="4" max="4" width="58.6328125" customWidth="1"/>
    <col min="5" max="5" width="50.6328125" customWidth="1"/>
    <col min="6" max="6" width="40.6328125" customWidth="1"/>
    <col min="7" max="7" width="12.6328125" customWidth="1"/>
    <col min="8" max="8" width="20.6328125" customWidth="1"/>
    <col min="9" max="9" width="11.6328125" customWidth="1"/>
  </cols>
  <sheetData>
    <row r="1" spans="1:9" ht="21" x14ac:dyDescent="0.35">
      <c r="A1" s="1" t="s">
        <v>107</v>
      </c>
    </row>
    <row r="2" spans="1:9" x14ac:dyDescent="0.35">
      <c r="A2" s="3" t="s">
        <v>108</v>
      </c>
    </row>
    <row r="5" spans="1:9" x14ac:dyDescent="0.35">
      <c r="A5" t="s">
        <v>3</v>
      </c>
      <c r="B5" t="s">
        <v>74</v>
      </c>
      <c r="C5" t="s">
        <v>6</v>
      </c>
      <c r="D5" t="s">
        <v>4</v>
      </c>
      <c r="E5" t="s">
        <v>2</v>
      </c>
      <c r="F5" t="s">
        <v>5</v>
      </c>
      <c r="G5" t="s">
        <v>109</v>
      </c>
      <c r="H5" t="s">
        <v>110</v>
      </c>
      <c r="I5" t="s">
        <v>111</v>
      </c>
    </row>
    <row r="6" spans="1:9" x14ac:dyDescent="0.35">
      <c r="A6" t="s">
        <v>8</v>
      </c>
      <c r="B6">
        <v>2020</v>
      </c>
      <c r="C6" t="s">
        <v>10</v>
      </c>
      <c r="D6" t="s">
        <v>9</v>
      </c>
      <c r="E6" t="str">
        <f>tblData[[#This Row],[Company]]&amp;"|"&amp;tblData[[#This Row],[Line item as reported]]</f>
        <v>Loblaw|Revenue</v>
      </c>
      <c r="F6" t="str">
        <f>_xlfn.XLOOKUP(tblData[[#This Row],[Map key]],tblMap[Map key],tblMap[Standard line item],"UNMAPPED")</f>
        <v>Revenue</v>
      </c>
      <c r="G6" s="9">
        <v>52714</v>
      </c>
      <c r="H6" t="s">
        <v>112</v>
      </c>
      <c r="I6">
        <v>100</v>
      </c>
    </row>
    <row r="7" spans="1:9" x14ac:dyDescent="0.35">
      <c r="A7" t="s">
        <v>8</v>
      </c>
      <c r="B7">
        <v>2020</v>
      </c>
      <c r="C7" t="s">
        <v>10</v>
      </c>
      <c r="D7" t="s">
        <v>11</v>
      </c>
      <c r="E7" t="str">
        <f>tblData[[#This Row],[Company]]&amp;"|"&amp;tblData[[#This Row],[Line item as reported]]</f>
        <v>Loblaw|Cost of merchandise inventories sold</v>
      </c>
      <c r="F7" t="str">
        <f>_xlfn.XLOOKUP(tblData[[#This Row],[Map key]],tblMap[Map key],tblMap[Standard line item],"UNMAPPED")</f>
        <v>Cost of sales</v>
      </c>
      <c r="G7" s="9">
        <v>36725</v>
      </c>
      <c r="H7" t="s">
        <v>112</v>
      </c>
      <c r="I7">
        <v>100</v>
      </c>
    </row>
    <row r="8" spans="1:9" x14ac:dyDescent="0.35">
      <c r="A8" t="s">
        <v>8</v>
      </c>
      <c r="B8">
        <v>2020</v>
      </c>
      <c r="C8" t="s">
        <v>10</v>
      </c>
      <c r="D8" t="s">
        <v>13</v>
      </c>
      <c r="E8" t="str">
        <f>tblData[[#This Row],[Company]]&amp;"|"&amp;tblData[[#This Row],[Line item as reported]]</f>
        <v>Loblaw|Net interest expense and other financing charges</v>
      </c>
      <c r="F8" t="str">
        <f>_xlfn.XLOOKUP(tblData[[#This Row],[Map key]],tblMap[Map key],tblMap[Standard line item],"UNMAPPED")</f>
        <v>Net finance costs</v>
      </c>
      <c r="G8" s="9">
        <v>742</v>
      </c>
      <c r="H8" t="s">
        <v>112</v>
      </c>
      <c r="I8">
        <v>100</v>
      </c>
    </row>
    <row r="9" spans="1:9" x14ac:dyDescent="0.35">
      <c r="A9" t="s">
        <v>8</v>
      </c>
      <c r="B9">
        <v>2020</v>
      </c>
      <c r="C9" t="s">
        <v>10</v>
      </c>
      <c r="D9" t="s">
        <v>15</v>
      </c>
      <c r="E9" t="str">
        <f>tblData[[#This Row],[Company]]&amp;"|"&amp;tblData[[#This Row],[Line item as reported]]</f>
        <v>Loblaw|Earnings before income taxes</v>
      </c>
      <c r="F9" t="str">
        <f>_xlfn.XLOOKUP(tblData[[#This Row],[Map key]],tblMap[Map key],tblMap[Standard line item],"UNMAPPED")</f>
        <v>Earnings before income taxes</v>
      </c>
      <c r="G9" s="9">
        <v>1623</v>
      </c>
      <c r="H9" t="s">
        <v>112</v>
      </c>
      <c r="I9">
        <v>100</v>
      </c>
    </row>
    <row r="10" spans="1:9" x14ac:dyDescent="0.35">
      <c r="A10" t="s">
        <v>8</v>
      </c>
      <c r="B10">
        <v>2020</v>
      </c>
      <c r="C10" t="s">
        <v>10</v>
      </c>
      <c r="D10" t="s">
        <v>16</v>
      </c>
      <c r="E10" t="str">
        <f>tblData[[#This Row],[Company]]&amp;"|"&amp;tblData[[#This Row],[Line item as reported]]</f>
        <v>Loblaw|Income taxes</v>
      </c>
      <c r="F10" t="str">
        <f>_xlfn.XLOOKUP(tblData[[#This Row],[Map key]],tblMap[Map key],tblMap[Standard line item],"UNMAPPED")</f>
        <v>Income taxes</v>
      </c>
      <c r="G10" s="9">
        <v>431</v>
      </c>
      <c r="H10" t="s">
        <v>112</v>
      </c>
      <c r="I10">
        <v>100</v>
      </c>
    </row>
    <row r="11" spans="1:9" x14ac:dyDescent="0.35">
      <c r="A11" t="s">
        <v>8</v>
      </c>
      <c r="B11">
        <v>2020</v>
      </c>
      <c r="C11" t="s">
        <v>10</v>
      </c>
      <c r="D11" t="s">
        <v>17</v>
      </c>
      <c r="E11" t="str">
        <f>tblData[[#This Row],[Company]]&amp;"|"&amp;tblData[[#This Row],[Line item as reported]]</f>
        <v>Loblaw|No discontinued operations</v>
      </c>
      <c r="F11" t="str">
        <f>_xlfn.XLOOKUP(tblData[[#This Row],[Map key]],tblMap[Map key],tblMap[Standard line item],"UNMAPPED")</f>
        <v>Net earnings from discontinued operations</v>
      </c>
      <c r="G11" s="9">
        <v>0</v>
      </c>
      <c r="H11" t="s">
        <v>112</v>
      </c>
      <c r="I11">
        <v>100</v>
      </c>
    </row>
    <row r="12" spans="1:9" x14ac:dyDescent="0.35">
      <c r="A12" t="s">
        <v>8</v>
      </c>
      <c r="B12">
        <v>2020</v>
      </c>
      <c r="C12" t="s">
        <v>10</v>
      </c>
      <c r="D12" t="s">
        <v>20</v>
      </c>
      <c r="E12" t="str">
        <f>tblData[[#This Row],[Company]]&amp;"|"&amp;tblData[[#This Row],[Line item as reported]]</f>
        <v>Loblaw|Net earnings</v>
      </c>
      <c r="F12" t="str">
        <f>_xlfn.XLOOKUP(tblData[[#This Row],[Map key]],tblMap[Map key],tblMap[Standard line item],"UNMAPPED")</f>
        <v>Net earnings</v>
      </c>
      <c r="G12" s="9">
        <v>1192</v>
      </c>
      <c r="H12" t="s">
        <v>112</v>
      </c>
      <c r="I12">
        <v>100</v>
      </c>
    </row>
    <row r="13" spans="1:9" x14ac:dyDescent="0.35">
      <c r="A13" t="s">
        <v>8</v>
      </c>
      <c r="B13">
        <v>2020</v>
      </c>
      <c r="C13" t="s">
        <v>10</v>
      </c>
      <c r="D13" t="s">
        <v>21</v>
      </c>
      <c r="E13" t="str">
        <f>tblData[[#This Row],[Company]]&amp;"|"&amp;tblData[[#This Row],[Line item as reported]]</f>
        <v>Loblaw|Shareholders of the Company</v>
      </c>
      <c r="F13" t="str">
        <f>_xlfn.XLOOKUP(tblData[[#This Row],[Map key]],tblMap[Map key],tblMap[Standard line item],"UNMAPPED")</f>
        <v>Net earnings attributable to shareholders</v>
      </c>
      <c r="G13" s="9">
        <v>1108</v>
      </c>
      <c r="H13" t="s">
        <v>112</v>
      </c>
      <c r="I13">
        <v>100</v>
      </c>
    </row>
    <row r="14" spans="1:9" x14ac:dyDescent="0.35">
      <c r="A14" t="s">
        <v>8</v>
      </c>
      <c r="B14">
        <v>2020</v>
      </c>
      <c r="C14" t="s">
        <v>24</v>
      </c>
      <c r="D14" t="s">
        <v>23</v>
      </c>
      <c r="E14" t="str">
        <f>tblData[[#This Row],[Company]]&amp;"|"&amp;tblData[[#This Row],[Line item as reported]]</f>
        <v>Loblaw|Inventories</v>
      </c>
      <c r="F14" t="str">
        <f>_xlfn.XLOOKUP(tblData[[#This Row],[Map key]],tblMap[Map key],tblMap[Standard line item],"UNMAPPED")</f>
        <v>Inventories</v>
      </c>
      <c r="G14" s="9">
        <v>5195</v>
      </c>
      <c r="H14" t="s">
        <v>112</v>
      </c>
      <c r="I14">
        <v>103</v>
      </c>
    </row>
    <row r="15" spans="1:9" x14ac:dyDescent="0.35">
      <c r="A15" t="s">
        <v>8</v>
      </c>
      <c r="B15">
        <v>2020</v>
      </c>
      <c r="C15" t="s">
        <v>24</v>
      </c>
      <c r="D15" t="s">
        <v>25</v>
      </c>
      <c r="E15" t="str">
        <f>tblData[[#This Row],[Company]]&amp;"|"&amp;tblData[[#This Row],[Line item as reported]]</f>
        <v>Loblaw|Total current assets</v>
      </c>
      <c r="F15" t="str">
        <f>_xlfn.XLOOKUP(tblData[[#This Row],[Map key]],tblMap[Map key],tblMap[Standard line item],"UNMAPPED")</f>
        <v>Total current assets</v>
      </c>
      <c r="G15" s="9">
        <v>11542</v>
      </c>
      <c r="H15" t="s">
        <v>112</v>
      </c>
      <c r="I15">
        <v>103</v>
      </c>
    </row>
    <row r="16" spans="1:9" x14ac:dyDescent="0.35">
      <c r="A16" t="s">
        <v>8</v>
      </c>
      <c r="B16">
        <v>2020</v>
      </c>
      <c r="C16" t="s">
        <v>24</v>
      </c>
      <c r="D16" t="s">
        <v>26</v>
      </c>
      <c r="E16" t="str">
        <f>tblData[[#This Row],[Company]]&amp;"|"&amp;tblData[[#This Row],[Line item as reported]]</f>
        <v>Loblaw|Total assets</v>
      </c>
      <c r="F16" t="str">
        <f>_xlfn.XLOOKUP(tblData[[#This Row],[Map key]],tblMap[Map key],tblMap[Standard line item],"UNMAPPED")</f>
        <v>Total assets</v>
      </c>
      <c r="G16" s="9">
        <v>35873</v>
      </c>
      <c r="H16" t="s">
        <v>112</v>
      </c>
      <c r="I16">
        <v>103</v>
      </c>
    </row>
    <row r="17" spans="1:9" x14ac:dyDescent="0.35">
      <c r="A17" t="s">
        <v>8</v>
      </c>
      <c r="B17">
        <v>2020</v>
      </c>
      <c r="C17" t="s">
        <v>24</v>
      </c>
      <c r="D17" t="s">
        <v>27</v>
      </c>
      <c r="E17" t="str">
        <f>tblData[[#This Row],[Company]]&amp;"|"&amp;tblData[[#This Row],[Line item as reported]]</f>
        <v>Loblaw|Total current liabilities</v>
      </c>
      <c r="F17" t="str">
        <f>_xlfn.XLOOKUP(tblData[[#This Row],[Map key]],tblMap[Map key],tblMap[Standard line item],"UNMAPPED")</f>
        <v>Total current liabilities</v>
      </c>
      <c r="G17" s="9">
        <v>8763</v>
      </c>
      <c r="H17" t="s">
        <v>112</v>
      </c>
      <c r="I17">
        <v>103</v>
      </c>
    </row>
    <row r="18" spans="1:9" x14ac:dyDescent="0.35">
      <c r="A18" t="s">
        <v>8</v>
      </c>
      <c r="B18">
        <v>2020</v>
      </c>
      <c r="C18" t="s">
        <v>24</v>
      </c>
      <c r="D18" t="s">
        <v>28</v>
      </c>
      <c r="E18" t="str">
        <f>tblData[[#This Row],[Company]]&amp;"|"&amp;tblData[[#This Row],[Line item as reported]]</f>
        <v>Loblaw|Total liabilities</v>
      </c>
      <c r="F18" t="str">
        <f>_xlfn.XLOOKUP(tblData[[#This Row],[Map key]],tblMap[Map key],tblMap[Standard line item],"UNMAPPED")</f>
        <v>Total liabilities</v>
      </c>
      <c r="G18" s="9">
        <v>24754</v>
      </c>
      <c r="H18" t="s">
        <v>112</v>
      </c>
      <c r="I18">
        <v>103</v>
      </c>
    </row>
    <row r="19" spans="1:9" x14ac:dyDescent="0.35">
      <c r="A19" t="s">
        <v>8</v>
      </c>
      <c r="B19">
        <v>2020</v>
      </c>
      <c r="C19" t="s">
        <v>24</v>
      </c>
      <c r="D19" t="s">
        <v>29</v>
      </c>
      <c r="E19" t="str">
        <f>tblData[[#This Row],[Company]]&amp;"|"&amp;tblData[[#This Row],[Line item as reported]]</f>
        <v>Loblaw|Total equity</v>
      </c>
      <c r="F19" t="str">
        <f>_xlfn.XLOOKUP(tblData[[#This Row],[Map key]],tblMap[Map key],tblMap[Standard line item],"UNMAPPED")</f>
        <v>Total equity</v>
      </c>
      <c r="G19" s="9">
        <v>11119</v>
      </c>
      <c r="H19" t="s">
        <v>112</v>
      </c>
      <c r="I19">
        <v>103</v>
      </c>
    </row>
    <row r="20" spans="1:9" x14ac:dyDescent="0.35">
      <c r="A20" t="s">
        <v>8</v>
      </c>
      <c r="B20">
        <v>2020</v>
      </c>
      <c r="C20" t="s">
        <v>24</v>
      </c>
      <c r="D20" t="s">
        <v>30</v>
      </c>
      <c r="E20" t="str">
        <f>tblData[[#This Row],[Company]]&amp;"|"&amp;tblData[[#This Row],[Line item as reported]]</f>
        <v>Loblaw|Total equity attributable to shareholders of the Company</v>
      </c>
      <c r="F20" t="str">
        <f>_xlfn.XLOOKUP(tblData[[#This Row],[Map key]],tblMap[Map key],tblMap[Standard line item],"UNMAPPED")</f>
        <v>Equity attributable to shareholders</v>
      </c>
      <c r="G20" s="9">
        <v>10988</v>
      </c>
      <c r="H20" t="s">
        <v>112</v>
      </c>
      <c r="I20">
        <v>103</v>
      </c>
    </row>
    <row r="21" spans="1:9" x14ac:dyDescent="0.35">
      <c r="A21" t="s">
        <v>8</v>
      </c>
      <c r="B21">
        <v>2020</v>
      </c>
      <c r="C21" t="s">
        <v>34</v>
      </c>
      <c r="D21" t="s">
        <v>32</v>
      </c>
      <c r="E21" t="str">
        <f>tblData[[#This Row],[Company]]&amp;"|"&amp;tblData[[#This Row],[Line item as reported]]</f>
        <v>Loblaw|Cash flows from operating activities</v>
      </c>
      <c r="F21" t="str">
        <f>_xlfn.XLOOKUP(tblData[[#This Row],[Map key]],tblMap[Map key],tblMap[Standard line item],"UNMAPPED")</f>
        <v>Cash from operating activities</v>
      </c>
      <c r="G21" s="9">
        <v>5191</v>
      </c>
      <c r="H21" t="s">
        <v>112</v>
      </c>
      <c r="I21">
        <v>104</v>
      </c>
    </row>
    <row r="22" spans="1:9" x14ac:dyDescent="0.35">
      <c r="A22" t="s">
        <v>8</v>
      </c>
      <c r="B22">
        <v>2020</v>
      </c>
      <c r="C22" t="s">
        <v>34</v>
      </c>
      <c r="D22" t="s">
        <v>35</v>
      </c>
      <c r="E22" t="str">
        <f>tblData[[#This Row],[Company]]&amp;"|"&amp;tblData[[#This Row],[Line item as reported]]</f>
        <v>Loblaw|Fixed asset purchases</v>
      </c>
      <c r="F22" t="str">
        <f>_xlfn.XLOOKUP(tblData[[#This Row],[Map key]],tblMap[Map key],tblMap[Standard line item],"UNMAPPED")</f>
        <v>Purchases of fixed assets</v>
      </c>
      <c r="G22" s="9">
        <v>820</v>
      </c>
      <c r="H22" t="s">
        <v>112</v>
      </c>
      <c r="I22">
        <v>104</v>
      </c>
    </row>
    <row r="23" spans="1:9" x14ac:dyDescent="0.35">
      <c r="A23" t="s">
        <v>8</v>
      </c>
      <c r="B23">
        <v>2020</v>
      </c>
      <c r="C23" t="s">
        <v>34</v>
      </c>
      <c r="D23" t="s">
        <v>37</v>
      </c>
      <c r="E23" t="str">
        <f>tblData[[#This Row],[Company]]&amp;"|"&amp;tblData[[#This Row],[Line item as reported]]</f>
        <v>Loblaw|Intangible asset additions</v>
      </c>
      <c r="F23" t="str">
        <f>_xlfn.XLOOKUP(tblData[[#This Row],[Map key]],tblMap[Map key],tblMap[Standard line item],"UNMAPPED")</f>
        <v>Purchases of intangible assets</v>
      </c>
      <c r="G23" s="9">
        <v>338</v>
      </c>
      <c r="H23" t="s">
        <v>112</v>
      </c>
      <c r="I23">
        <v>104</v>
      </c>
    </row>
    <row r="24" spans="1:9" x14ac:dyDescent="0.35">
      <c r="A24" t="s">
        <v>8</v>
      </c>
      <c r="B24">
        <v>2020</v>
      </c>
      <c r="C24" t="s">
        <v>34</v>
      </c>
      <c r="D24" t="s">
        <v>39</v>
      </c>
      <c r="E24" t="str">
        <f>tblData[[#This Row],[Company]]&amp;"|"&amp;tblData[[#This Row],[Line item as reported]]</f>
        <v>Loblaw|Cash rent paid on lease liabilities - Principal</v>
      </c>
      <c r="F24" t="str">
        <f>_xlfn.XLOOKUP(tblData[[#This Row],[Map key]],tblMap[Map key],tblMap[Standard line item],"UNMAPPED")</f>
        <v>Lease principal payments</v>
      </c>
      <c r="G24" s="9">
        <v>1024</v>
      </c>
      <c r="H24" t="s">
        <v>112</v>
      </c>
      <c r="I24">
        <v>104</v>
      </c>
    </row>
    <row r="25" spans="1:9" x14ac:dyDescent="0.35">
      <c r="A25" t="s">
        <v>8</v>
      </c>
      <c r="B25">
        <v>2021</v>
      </c>
      <c r="C25" t="s">
        <v>10</v>
      </c>
      <c r="D25" t="s">
        <v>9</v>
      </c>
      <c r="E25" t="str">
        <f>tblData[[#This Row],[Company]]&amp;"|"&amp;tblData[[#This Row],[Line item as reported]]</f>
        <v>Loblaw|Revenue</v>
      </c>
      <c r="F25" t="str">
        <f>_xlfn.XLOOKUP(tblData[[#This Row],[Map key]],tblMap[Map key],tblMap[Standard line item],"UNMAPPED")</f>
        <v>Revenue</v>
      </c>
      <c r="G25" s="9">
        <v>53170</v>
      </c>
      <c r="H25" t="s">
        <v>112</v>
      </c>
      <c r="I25">
        <v>100</v>
      </c>
    </row>
    <row r="26" spans="1:9" x14ac:dyDescent="0.35">
      <c r="A26" t="s">
        <v>8</v>
      </c>
      <c r="B26">
        <v>2021</v>
      </c>
      <c r="C26" t="s">
        <v>10</v>
      </c>
      <c r="D26" t="s">
        <v>11</v>
      </c>
      <c r="E26" t="str">
        <f>tblData[[#This Row],[Company]]&amp;"|"&amp;tblData[[#This Row],[Line item as reported]]</f>
        <v>Loblaw|Cost of merchandise inventories sold</v>
      </c>
      <c r="F26" t="str">
        <f>_xlfn.XLOOKUP(tblData[[#This Row],[Map key]],tblMap[Map key],tblMap[Standard line item],"UNMAPPED")</f>
        <v>Cost of sales</v>
      </c>
      <c r="G26" s="9">
        <v>36436</v>
      </c>
      <c r="H26" t="s">
        <v>112</v>
      </c>
      <c r="I26">
        <v>100</v>
      </c>
    </row>
    <row r="27" spans="1:9" x14ac:dyDescent="0.35">
      <c r="A27" t="s">
        <v>8</v>
      </c>
      <c r="B27">
        <v>2021</v>
      </c>
      <c r="C27" t="s">
        <v>10</v>
      </c>
      <c r="D27" t="s">
        <v>13</v>
      </c>
      <c r="E27" t="str">
        <f>tblData[[#This Row],[Company]]&amp;"|"&amp;tblData[[#This Row],[Line item as reported]]</f>
        <v>Loblaw|Net interest expense and other financing charges</v>
      </c>
      <c r="F27" t="str">
        <f>_xlfn.XLOOKUP(tblData[[#This Row],[Map key]],tblMap[Map key],tblMap[Standard line item],"UNMAPPED")</f>
        <v>Net finance costs</v>
      </c>
      <c r="G27" s="9">
        <v>495</v>
      </c>
      <c r="H27" t="s">
        <v>112</v>
      </c>
      <c r="I27">
        <v>100</v>
      </c>
    </row>
    <row r="28" spans="1:9" x14ac:dyDescent="0.35">
      <c r="A28" t="s">
        <v>8</v>
      </c>
      <c r="B28">
        <v>2021</v>
      </c>
      <c r="C28" t="s">
        <v>10</v>
      </c>
      <c r="D28" t="s">
        <v>15</v>
      </c>
      <c r="E28" t="str">
        <f>tblData[[#This Row],[Company]]&amp;"|"&amp;tblData[[#This Row],[Line item as reported]]</f>
        <v>Loblaw|Earnings before income taxes</v>
      </c>
      <c r="F28" t="str">
        <f>_xlfn.XLOOKUP(tblData[[#This Row],[Map key]],tblMap[Map key],tblMap[Standard line item],"UNMAPPED")</f>
        <v>Earnings before income taxes</v>
      </c>
      <c r="G28" s="9">
        <v>2442</v>
      </c>
      <c r="H28" t="s">
        <v>112</v>
      </c>
      <c r="I28">
        <v>100</v>
      </c>
    </row>
    <row r="29" spans="1:9" x14ac:dyDescent="0.35">
      <c r="A29" t="s">
        <v>8</v>
      </c>
      <c r="B29">
        <v>2021</v>
      </c>
      <c r="C29" t="s">
        <v>10</v>
      </c>
      <c r="D29" t="s">
        <v>16</v>
      </c>
      <c r="E29" t="str">
        <f>tblData[[#This Row],[Company]]&amp;"|"&amp;tblData[[#This Row],[Line item as reported]]</f>
        <v>Loblaw|Income taxes</v>
      </c>
      <c r="F29" t="str">
        <f>_xlfn.XLOOKUP(tblData[[#This Row],[Map key]],tblMap[Map key],tblMap[Standard line item],"UNMAPPED")</f>
        <v>Income taxes</v>
      </c>
      <c r="G29" s="9">
        <v>466</v>
      </c>
      <c r="H29" t="s">
        <v>112</v>
      </c>
      <c r="I29">
        <v>100</v>
      </c>
    </row>
    <row r="30" spans="1:9" x14ac:dyDescent="0.35">
      <c r="A30" t="s">
        <v>8</v>
      </c>
      <c r="B30">
        <v>2021</v>
      </c>
      <c r="C30" t="s">
        <v>10</v>
      </c>
      <c r="D30" t="s">
        <v>17</v>
      </c>
      <c r="E30" t="str">
        <f>tblData[[#This Row],[Company]]&amp;"|"&amp;tblData[[#This Row],[Line item as reported]]</f>
        <v>Loblaw|No discontinued operations</v>
      </c>
      <c r="F30" t="str">
        <f>_xlfn.XLOOKUP(tblData[[#This Row],[Map key]],tblMap[Map key],tblMap[Standard line item],"UNMAPPED")</f>
        <v>Net earnings from discontinued operations</v>
      </c>
      <c r="G30" s="9">
        <v>0</v>
      </c>
      <c r="H30" t="s">
        <v>112</v>
      </c>
      <c r="I30">
        <v>100</v>
      </c>
    </row>
    <row r="31" spans="1:9" x14ac:dyDescent="0.35">
      <c r="A31" t="s">
        <v>8</v>
      </c>
      <c r="B31">
        <v>2021</v>
      </c>
      <c r="C31" t="s">
        <v>10</v>
      </c>
      <c r="D31" t="s">
        <v>20</v>
      </c>
      <c r="E31" t="str">
        <f>tblData[[#This Row],[Company]]&amp;"|"&amp;tblData[[#This Row],[Line item as reported]]</f>
        <v>Loblaw|Net earnings</v>
      </c>
      <c r="F31" t="str">
        <f>_xlfn.XLOOKUP(tblData[[#This Row],[Map key]],tblMap[Map key],tblMap[Standard line item],"UNMAPPED")</f>
        <v>Net earnings</v>
      </c>
      <c r="G31" s="9">
        <v>1976</v>
      </c>
      <c r="H31" t="s">
        <v>112</v>
      </c>
      <c r="I31">
        <v>100</v>
      </c>
    </row>
    <row r="32" spans="1:9" x14ac:dyDescent="0.35">
      <c r="A32" t="s">
        <v>8</v>
      </c>
      <c r="B32">
        <v>2021</v>
      </c>
      <c r="C32" t="s">
        <v>10</v>
      </c>
      <c r="D32" t="s">
        <v>21</v>
      </c>
      <c r="E32" t="str">
        <f>tblData[[#This Row],[Company]]&amp;"|"&amp;tblData[[#This Row],[Line item as reported]]</f>
        <v>Loblaw|Shareholders of the Company</v>
      </c>
      <c r="F32" t="str">
        <f>_xlfn.XLOOKUP(tblData[[#This Row],[Map key]],tblMap[Map key],tblMap[Standard line item],"UNMAPPED")</f>
        <v>Net earnings attributable to shareholders</v>
      </c>
      <c r="G32" s="9">
        <v>1875</v>
      </c>
      <c r="H32" t="s">
        <v>112</v>
      </c>
      <c r="I32">
        <v>100</v>
      </c>
    </row>
    <row r="33" spans="1:9" x14ac:dyDescent="0.35">
      <c r="A33" t="s">
        <v>8</v>
      </c>
      <c r="B33">
        <v>2021</v>
      </c>
      <c r="C33" t="s">
        <v>24</v>
      </c>
      <c r="D33" t="s">
        <v>23</v>
      </c>
      <c r="E33" t="str">
        <f>tblData[[#This Row],[Company]]&amp;"|"&amp;tblData[[#This Row],[Line item as reported]]</f>
        <v>Loblaw|Inventories</v>
      </c>
      <c r="F33" t="str">
        <f>_xlfn.XLOOKUP(tblData[[#This Row],[Map key]],tblMap[Map key],tblMap[Standard line item],"UNMAPPED")</f>
        <v>Inventories</v>
      </c>
      <c r="G33" s="9">
        <v>5166</v>
      </c>
      <c r="H33" t="s">
        <v>112</v>
      </c>
      <c r="I33">
        <v>103</v>
      </c>
    </row>
    <row r="34" spans="1:9" x14ac:dyDescent="0.35">
      <c r="A34" t="s">
        <v>8</v>
      </c>
      <c r="B34">
        <v>2021</v>
      </c>
      <c r="C34" t="s">
        <v>24</v>
      </c>
      <c r="D34" t="s">
        <v>25</v>
      </c>
      <c r="E34" t="str">
        <f>tblData[[#This Row],[Company]]&amp;"|"&amp;tblData[[#This Row],[Line item as reported]]</f>
        <v>Loblaw|Total current assets</v>
      </c>
      <c r="F34" t="str">
        <f>_xlfn.XLOOKUP(tblData[[#This Row],[Map key]],tblMap[Map key],tblMap[Standard line item],"UNMAPPED")</f>
        <v>Total current assets</v>
      </c>
      <c r="G34" s="9">
        <v>12637</v>
      </c>
      <c r="H34" t="s">
        <v>112</v>
      </c>
      <c r="I34">
        <v>103</v>
      </c>
    </row>
    <row r="35" spans="1:9" x14ac:dyDescent="0.35">
      <c r="A35" t="s">
        <v>8</v>
      </c>
      <c r="B35">
        <v>2021</v>
      </c>
      <c r="C35" t="s">
        <v>24</v>
      </c>
      <c r="D35" t="s">
        <v>26</v>
      </c>
      <c r="E35" t="str">
        <f>tblData[[#This Row],[Company]]&amp;"|"&amp;tblData[[#This Row],[Line item as reported]]</f>
        <v>Loblaw|Total assets</v>
      </c>
      <c r="F35" t="str">
        <f>_xlfn.XLOOKUP(tblData[[#This Row],[Map key]],tblMap[Map key],tblMap[Standard line item],"UNMAPPED")</f>
        <v>Total assets</v>
      </c>
      <c r="G35" s="9">
        <v>36614</v>
      </c>
      <c r="H35" t="s">
        <v>112</v>
      </c>
      <c r="I35">
        <v>103</v>
      </c>
    </row>
    <row r="36" spans="1:9" x14ac:dyDescent="0.35">
      <c r="A36" t="s">
        <v>8</v>
      </c>
      <c r="B36">
        <v>2021</v>
      </c>
      <c r="C36" t="s">
        <v>24</v>
      </c>
      <c r="D36" t="s">
        <v>27</v>
      </c>
      <c r="E36" t="str">
        <f>tblData[[#This Row],[Company]]&amp;"|"&amp;tblData[[#This Row],[Line item as reported]]</f>
        <v>Loblaw|Total current liabilities</v>
      </c>
      <c r="F36" t="str">
        <f>_xlfn.XLOOKUP(tblData[[#This Row],[Map key]],tblMap[Map key],tblMap[Standard line item],"UNMAPPED")</f>
        <v>Total current liabilities</v>
      </c>
      <c r="G36" s="9">
        <v>9196</v>
      </c>
      <c r="H36" t="s">
        <v>112</v>
      </c>
      <c r="I36">
        <v>103</v>
      </c>
    </row>
    <row r="37" spans="1:9" x14ac:dyDescent="0.35">
      <c r="A37" t="s">
        <v>8</v>
      </c>
      <c r="B37">
        <v>2021</v>
      </c>
      <c r="C37" t="s">
        <v>24</v>
      </c>
      <c r="D37" t="s">
        <v>28</v>
      </c>
      <c r="E37" t="str">
        <f>tblData[[#This Row],[Company]]&amp;"|"&amp;tblData[[#This Row],[Line item as reported]]</f>
        <v>Loblaw|Total liabilities</v>
      </c>
      <c r="F37" t="str">
        <f>_xlfn.XLOOKUP(tblData[[#This Row],[Map key]],tblMap[Map key],tblMap[Standard line item],"UNMAPPED")</f>
        <v>Total liabilities</v>
      </c>
      <c r="G37" s="9">
        <v>24877</v>
      </c>
      <c r="H37" t="s">
        <v>112</v>
      </c>
      <c r="I37">
        <v>103</v>
      </c>
    </row>
    <row r="38" spans="1:9" x14ac:dyDescent="0.35">
      <c r="A38" t="s">
        <v>8</v>
      </c>
      <c r="B38">
        <v>2021</v>
      </c>
      <c r="C38" t="s">
        <v>24</v>
      </c>
      <c r="D38" t="s">
        <v>29</v>
      </c>
      <c r="E38" t="str">
        <f>tblData[[#This Row],[Company]]&amp;"|"&amp;tblData[[#This Row],[Line item as reported]]</f>
        <v>Loblaw|Total equity</v>
      </c>
      <c r="F38" t="str">
        <f>_xlfn.XLOOKUP(tblData[[#This Row],[Map key]],tblMap[Map key],tblMap[Standard line item],"UNMAPPED")</f>
        <v>Total equity</v>
      </c>
      <c r="G38" s="9">
        <v>11737</v>
      </c>
      <c r="H38" t="s">
        <v>112</v>
      </c>
      <c r="I38">
        <v>103</v>
      </c>
    </row>
    <row r="39" spans="1:9" x14ac:dyDescent="0.35">
      <c r="A39" t="s">
        <v>8</v>
      </c>
      <c r="B39">
        <v>2021</v>
      </c>
      <c r="C39" t="s">
        <v>24</v>
      </c>
      <c r="D39" t="s">
        <v>30</v>
      </c>
      <c r="E39" t="str">
        <f>tblData[[#This Row],[Company]]&amp;"|"&amp;tblData[[#This Row],[Line item as reported]]</f>
        <v>Loblaw|Total equity attributable to shareholders of the Company</v>
      </c>
      <c r="F39" t="str">
        <f>_xlfn.XLOOKUP(tblData[[#This Row],[Map key]],tblMap[Map key],tblMap[Standard line item],"UNMAPPED")</f>
        <v>Equity attributable to shareholders</v>
      </c>
      <c r="G39" s="9">
        <v>11573</v>
      </c>
      <c r="H39" t="s">
        <v>112</v>
      </c>
      <c r="I39">
        <v>103</v>
      </c>
    </row>
    <row r="40" spans="1:9" x14ac:dyDescent="0.35">
      <c r="A40" t="s">
        <v>8</v>
      </c>
      <c r="B40">
        <v>2021</v>
      </c>
      <c r="C40" t="s">
        <v>34</v>
      </c>
      <c r="D40" t="s">
        <v>32</v>
      </c>
      <c r="E40" t="str">
        <f>tblData[[#This Row],[Company]]&amp;"|"&amp;tblData[[#This Row],[Line item as reported]]</f>
        <v>Loblaw|Cash flows from operating activities</v>
      </c>
      <c r="F40" t="str">
        <f>_xlfn.XLOOKUP(tblData[[#This Row],[Map key]],tblMap[Map key],tblMap[Standard line item],"UNMAPPED")</f>
        <v>Cash from operating activities</v>
      </c>
      <c r="G40" s="9">
        <v>4827</v>
      </c>
      <c r="H40" t="s">
        <v>112</v>
      </c>
      <c r="I40">
        <v>104</v>
      </c>
    </row>
    <row r="41" spans="1:9" x14ac:dyDescent="0.35">
      <c r="A41" t="s">
        <v>8</v>
      </c>
      <c r="B41">
        <v>2021</v>
      </c>
      <c r="C41" t="s">
        <v>34</v>
      </c>
      <c r="D41" t="s">
        <v>35</v>
      </c>
      <c r="E41" t="str">
        <f>tblData[[#This Row],[Company]]&amp;"|"&amp;tblData[[#This Row],[Line item as reported]]</f>
        <v>Loblaw|Fixed asset purchases</v>
      </c>
      <c r="F41" t="str">
        <f>_xlfn.XLOOKUP(tblData[[#This Row],[Map key]],tblMap[Map key],tblMap[Standard line item],"UNMAPPED")</f>
        <v>Purchases of fixed assets</v>
      </c>
      <c r="G41" s="9">
        <v>803</v>
      </c>
      <c r="H41" t="s">
        <v>112</v>
      </c>
      <c r="I41">
        <v>104</v>
      </c>
    </row>
    <row r="42" spans="1:9" x14ac:dyDescent="0.35">
      <c r="A42" t="s">
        <v>8</v>
      </c>
      <c r="B42">
        <v>2021</v>
      </c>
      <c r="C42" t="s">
        <v>34</v>
      </c>
      <c r="D42" t="s">
        <v>37</v>
      </c>
      <c r="E42" t="str">
        <f>tblData[[#This Row],[Company]]&amp;"|"&amp;tblData[[#This Row],[Line item as reported]]</f>
        <v>Loblaw|Intangible asset additions</v>
      </c>
      <c r="F42" t="str">
        <f>_xlfn.XLOOKUP(tblData[[#This Row],[Map key]],tblMap[Map key],tblMap[Standard line item],"UNMAPPED")</f>
        <v>Purchases of intangible assets</v>
      </c>
      <c r="G42" s="9">
        <v>379</v>
      </c>
      <c r="H42" t="s">
        <v>112</v>
      </c>
      <c r="I42">
        <v>104</v>
      </c>
    </row>
    <row r="43" spans="1:9" x14ac:dyDescent="0.35">
      <c r="A43" t="s">
        <v>8</v>
      </c>
      <c r="B43">
        <v>2021</v>
      </c>
      <c r="C43" t="s">
        <v>34</v>
      </c>
      <c r="D43" t="s">
        <v>39</v>
      </c>
      <c r="E43" t="str">
        <f>tblData[[#This Row],[Company]]&amp;"|"&amp;tblData[[#This Row],[Line item as reported]]</f>
        <v>Loblaw|Cash rent paid on lease liabilities - Principal</v>
      </c>
      <c r="F43" t="str">
        <f>_xlfn.XLOOKUP(tblData[[#This Row],[Map key]],tblMap[Map key],tblMap[Standard line item],"UNMAPPED")</f>
        <v>Lease principal payments</v>
      </c>
      <c r="G43" s="9">
        <v>1020</v>
      </c>
      <c r="H43" t="s">
        <v>112</v>
      </c>
      <c r="I43">
        <v>104</v>
      </c>
    </row>
    <row r="44" spans="1:9" x14ac:dyDescent="0.35">
      <c r="A44" t="s">
        <v>8</v>
      </c>
      <c r="B44">
        <v>2022</v>
      </c>
      <c r="C44" t="s">
        <v>10</v>
      </c>
      <c r="D44" t="s">
        <v>9</v>
      </c>
      <c r="E44" t="str">
        <f>tblData[[#This Row],[Company]]&amp;"|"&amp;tblData[[#This Row],[Line item as reported]]</f>
        <v>Loblaw|Revenue</v>
      </c>
      <c r="F44" t="str">
        <f>_xlfn.XLOOKUP(tblData[[#This Row],[Map key]],tblMap[Map key],tblMap[Standard line item],"UNMAPPED")</f>
        <v>Revenue</v>
      </c>
      <c r="G44" s="9">
        <v>56504</v>
      </c>
      <c r="H44" t="s">
        <v>113</v>
      </c>
      <c r="I44">
        <v>93</v>
      </c>
    </row>
    <row r="45" spans="1:9" x14ac:dyDescent="0.35">
      <c r="A45" t="s">
        <v>8</v>
      </c>
      <c r="B45">
        <v>2022</v>
      </c>
      <c r="C45" t="s">
        <v>10</v>
      </c>
      <c r="D45" t="s">
        <v>12</v>
      </c>
      <c r="E45" t="str">
        <f>tblData[[#This Row],[Company]]&amp;"|"&amp;tblData[[#This Row],[Line item as reported]]</f>
        <v>Loblaw|Cost of sales</v>
      </c>
      <c r="F45" t="str">
        <f>_xlfn.XLOOKUP(tblData[[#This Row],[Map key]],tblMap[Map key],tblMap[Standard line item],"UNMAPPED")</f>
        <v>Cost of sales</v>
      </c>
      <c r="G45" s="9">
        <v>38528</v>
      </c>
      <c r="H45" t="s">
        <v>113</v>
      </c>
      <c r="I45">
        <v>93</v>
      </c>
    </row>
    <row r="46" spans="1:9" x14ac:dyDescent="0.35">
      <c r="A46" t="s">
        <v>8</v>
      </c>
      <c r="B46">
        <v>2022</v>
      </c>
      <c r="C46" t="s">
        <v>10</v>
      </c>
      <c r="D46" t="s">
        <v>13</v>
      </c>
      <c r="E46" t="str">
        <f>tblData[[#This Row],[Company]]&amp;"|"&amp;tblData[[#This Row],[Line item as reported]]</f>
        <v>Loblaw|Net interest expense and other financing charges</v>
      </c>
      <c r="F46" t="str">
        <f>_xlfn.XLOOKUP(tblData[[#This Row],[Map key]],tblMap[Map key],tblMap[Standard line item],"UNMAPPED")</f>
        <v>Net finance costs</v>
      </c>
      <c r="G46" s="9">
        <v>683</v>
      </c>
      <c r="H46" t="s">
        <v>113</v>
      </c>
      <c r="I46">
        <v>93</v>
      </c>
    </row>
    <row r="47" spans="1:9" x14ac:dyDescent="0.35">
      <c r="A47" t="s">
        <v>8</v>
      </c>
      <c r="B47">
        <v>2022</v>
      </c>
      <c r="C47" t="s">
        <v>10</v>
      </c>
      <c r="D47" t="s">
        <v>15</v>
      </c>
      <c r="E47" t="str">
        <f>tblData[[#This Row],[Company]]&amp;"|"&amp;tblData[[#This Row],[Line item as reported]]</f>
        <v>Loblaw|Earnings before income taxes</v>
      </c>
      <c r="F47" t="str">
        <f>_xlfn.XLOOKUP(tblData[[#This Row],[Map key]],tblMap[Map key],tblMap[Standard line item],"UNMAPPED")</f>
        <v>Earnings before income taxes</v>
      </c>
      <c r="G47" s="9">
        <v>2659</v>
      </c>
      <c r="H47" t="s">
        <v>113</v>
      </c>
      <c r="I47">
        <v>93</v>
      </c>
    </row>
    <row r="48" spans="1:9" x14ac:dyDescent="0.35">
      <c r="A48" t="s">
        <v>8</v>
      </c>
      <c r="B48">
        <v>2022</v>
      </c>
      <c r="C48" t="s">
        <v>10</v>
      </c>
      <c r="D48" t="s">
        <v>16</v>
      </c>
      <c r="E48" t="str">
        <f>tblData[[#This Row],[Company]]&amp;"|"&amp;tblData[[#This Row],[Line item as reported]]</f>
        <v>Loblaw|Income taxes</v>
      </c>
      <c r="F48" t="str">
        <f>_xlfn.XLOOKUP(tblData[[#This Row],[Map key]],tblMap[Map key],tblMap[Standard line item],"UNMAPPED")</f>
        <v>Income taxes</v>
      </c>
      <c r="G48" s="9">
        <v>665</v>
      </c>
      <c r="H48" t="s">
        <v>113</v>
      </c>
      <c r="I48">
        <v>93</v>
      </c>
    </row>
    <row r="49" spans="1:9" x14ac:dyDescent="0.35">
      <c r="A49" t="s">
        <v>8</v>
      </c>
      <c r="B49">
        <v>2022</v>
      </c>
      <c r="C49" t="s">
        <v>10</v>
      </c>
      <c r="D49" t="s">
        <v>17</v>
      </c>
      <c r="E49" t="str">
        <f>tblData[[#This Row],[Company]]&amp;"|"&amp;tblData[[#This Row],[Line item as reported]]</f>
        <v>Loblaw|No discontinued operations</v>
      </c>
      <c r="F49" t="str">
        <f>_xlfn.XLOOKUP(tblData[[#This Row],[Map key]],tblMap[Map key],tblMap[Standard line item],"UNMAPPED")</f>
        <v>Net earnings from discontinued operations</v>
      </c>
      <c r="G49" s="9">
        <v>0</v>
      </c>
      <c r="H49" t="s">
        <v>113</v>
      </c>
      <c r="I49">
        <v>93</v>
      </c>
    </row>
    <row r="50" spans="1:9" x14ac:dyDescent="0.35">
      <c r="A50" t="s">
        <v>8</v>
      </c>
      <c r="B50">
        <v>2022</v>
      </c>
      <c r="C50" t="s">
        <v>10</v>
      </c>
      <c r="D50" t="s">
        <v>20</v>
      </c>
      <c r="E50" t="str">
        <f>tblData[[#This Row],[Company]]&amp;"|"&amp;tblData[[#This Row],[Line item as reported]]</f>
        <v>Loblaw|Net earnings</v>
      </c>
      <c r="F50" t="str">
        <f>_xlfn.XLOOKUP(tblData[[#This Row],[Map key]],tblMap[Map key],tblMap[Standard line item],"UNMAPPED")</f>
        <v>Net earnings</v>
      </c>
      <c r="G50" s="9">
        <v>1994</v>
      </c>
      <c r="H50" t="s">
        <v>113</v>
      </c>
      <c r="I50">
        <v>93</v>
      </c>
    </row>
    <row r="51" spans="1:9" x14ac:dyDescent="0.35">
      <c r="A51" t="s">
        <v>8</v>
      </c>
      <c r="B51">
        <v>2022</v>
      </c>
      <c r="C51" t="s">
        <v>10</v>
      </c>
      <c r="D51" t="s">
        <v>21</v>
      </c>
      <c r="E51" t="str">
        <f>tblData[[#This Row],[Company]]&amp;"|"&amp;tblData[[#This Row],[Line item as reported]]</f>
        <v>Loblaw|Shareholders of the Company</v>
      </c>
      <c r="F51" t="str">
        <f>_xlfn.XLOOKUP(tblData[[#This Row],[Map key]],tblMap[Map key],tblMap[Standard line item],"UNMAPPED")</f>
        <v>Net earnings attributable to shareholders</v>
      </c>
      <c r="G51" s="9">
        <v>1921</v>
      </c>
      <c r="H51" t="s">
        <v>113</v>
      </c>
      <c r="I51">
        <v>93</v>
      </c>
    </row>
    <row r="52" spans="1:9" x14ac:dyDescent="0.35">
      <c r="A52" t="s">
        <v>8</v>
      </c>
      <c r="B52">
        <v>2022</v>
      </c>
      <c r="C52" t="s">
        <v>24</v>
      </c>
      <c r="D52" t="s">
        <v>23</v>
      </c>
      <c r="E52" t="str">
        <f>tblData[[#This Row],[Company]]&amp;"|"&amp;tblData[[#This Row],[Line item as reported]]</f>
        <v>Loblaw|Inventories</v>
      </c>
      <c r="F52" t="str">
        <f>_xlfn.XLOOKUP(tblData[[#This Row],[Map key]],tblMap[Map key],tblMap[Standard line item],"UNMAPPED")</f>
        <v>Inventories</v>
      </c>
      <c r="G52" s="9">
        <v>5855</v>
      </c>
      <c r="H52" t="s">
        <v>113</v>
      </c>
      <c r="I52">
        <v>96</v>
      </c>
    </row>
    <row r="53" spans="1:9" x14ac:dyDescent="0.35">
      <c r="A53" t="s">
        <v>8</v>
      </c>
      <c r="B53">
        <v>2022</v>
      </c>
      <c r="C53" t="s">
        <v>24</v>
      </c>
      <c r="D53" t="s">
        <v>25</v>
      </c>
      <c r="E53" t="str">
        <f>tblData[[#This Row],[Company]]&amp;"|"&amp;tblData[[#This Row],[Line item as reported]]</f>
        <v>Loblaw|Total current assets</v>
      </c>
      <c r="F53" t="str">
        <f>_xlfn.XLOOKUP(tblData[[#This Row],[Map key]],tblMap[Map key],tblMap[Standard line item],"UNMAPPED")</f>
        <v>Total current assets</v>
      </c>
      <c r="G53" s="9">
        <v>13376</v>
      </c>
      <c r="H53" t="s">
        <v>113</v>
      </c>
      <c r="I53">
        <v>96</v>
      </c>
    </row>
    <row r="54" spans="1:9" x14ac:dyDescent="0.35">
      <c r="A54" t="s">
        <v>8</v>
      </c>
      <c r="B54">
        <v>2022</v>
      </c>
      <c r="C54" t="s">
        <v>24</v>
      </c>
      <c r="D54" t="s">
        <v>26</v>
      </c>
      <c r="E54" t="str">
        <f>tblData[[#This Row],[Company]]&amp;"|"&amp;tblData[[#This Row],[Line item as reported]]</f>
        <v>Loblaw|Total assets</v>
      </c>
      <c r="F54" t="str">
        <f>_xlfn.XLOOKUP(tblData[[#This Row],[Map key]],tblMap[Map key],tblMap[Standard line item],"UNMAPPED")</f>
        <v>Total assets</v>
      </c>
      <c r="G54" s="9">
        <v>38147</v>
      </c>
      <c r="H54" t="s">
        <v>113</v>
      </c>
      <c r="I54">
        <v>96</v>
      </c>
    </row>
    <row r="55" spans="1:9" x14ac:dyDescent="0.35">
      <c r="A55" t="s">
        <v>8</v>
      </c>
      <c r="B55">
        <v>2022</v>
      </c>
      <c r="C55" t="s">
        <v>24</v>
      </c>
      <c r="D55" t="s">
        <v>27</v>
      </c>
      <c r="E55" t="str">
        <f>tblData[[#This Row],[Company]]&amp;"|"&amp;tblData[[#This Row],[Line item as reported]]</f>
        <v>Loblaw|Total current liabilities</v>
      </c>
      <c r="F55" t="str">
        <f>_xlfn.XLOOKUP(tblData[[#This Row],[Map key]],tblMap[Map key],tblMap[Standard line item],"UNMAPPED")</f>
        <v>Total current liabilities</v>
      </c>
      <c r="G55" s="9">
        <v>10098</v>
      </c>
      <c r="H55" t="s">
        <v>113</v>
      </c>
      <c r="I55">
        <v>96</v>
      </c>
    </row>
    <row r="56" spans="1:9" x14ac:dyDescent="0.35">
      <c r="A56" t="s">
        <v>8</v>
      </c>
      <c r="B56">
        <v>2022</v>
      </c>
      <c r="C56" t="s">
        <v>24</v>
      </c>
      <c r="D56" t="s">
        <v>28</v>
      </c>
      <c r="E56" t="str">
        <f>tblData[[#This Row],[Company]]&amp;"|"&amp;tblData[[#This Row],[Line item as reported]]</f>
        <v>Loblaw|Total liabilities</v>
      </c>
      <c r="F56" t="str">
        <f>_xlfn.XLOOKUP(tblData[[#This Row],[Map key]],tblMap[Map key],tblMap[Standard line item],"UNMAPPED")</f>
        <v>Total liabilities</v>
      </c>
      <c r="G56" s="9">
        <v>26691</v>
      </c>
      <c r="H56" t="s">
        <v>113</v>
      </c>
      <c r="I56">
        <v>96</v>
      </c>
    </row>
    <row r="57" spans="1:9" x14ac:dyDescent="0.35">
      <c r="A57" t="s">
        <v>8</v>
      </c>
      <c r="B57">
        <v>2022</v>
      </c>
      <c r="C57" t="s">
        <v>24</v>
      </c>
      <c r="D57" t="s">
        <v>29</v>
      </c>
      <c r="E57" t="str">
        <f>tblData[[#This Row],[Company]]&amp;"|"&amp;tblData[[#This Row],[Line item as reported]]</f>
        <v>Loblaw|Total equity</v>
      </c>
      <c r="F57" t="str">
        <f>_xlfn.XLOOKUP(tblData[[#This Row],[Map key]],tblMap[Map key],tblMap[Standard line item],"UNMAPPED")</f>
        <v>Total equity</v>
      </c>
      <c r="G57" s="9">
        <v>11456</v>
      </c>
      <c r="H57" t="s">
        <v>113</v>
      </c>
      <c r="I57">
        <v>96</v>
      </c>
    </row>
    <row r="58" spans="1:9" x14ac:dyDescent="0.35">
      <c r="A58" t="s">
        <v>8</v>
      </c>
      <c r="B58">
        <v>2022</v>
      </c>
      <c r="C58" t="s">
        <v>24</v>
      </c>
      <c r="D58" t="s">
        <v>30</v>
      </c>
      <c r="E58" t="str">
        <f>tblData[[#This Row],[Company]]&amp;"|"&amp;tblData[[#This Row],[Line item as reported]]</f>
        <v>Loblaw|Total equity attributable to shareholders of the Company</v>
      </c>
      <c r="F58" t="str">
        <f>_xlfn.XLOOKUP(tblData[[#This Row],[Map key]],tblMap[Map key],tblMap[Standard line item],"UNMAPPED")</f>
        <v>Equity attributable to shareholders</v>
      </c>
      <c r="G58" s="9">
        <v>11299</v>
      </c>
      <c r="H58" t="s">
        <v>113</v>
      </c>
      <c r="I58">
        <v>96</v>
      </c>
    </row>
    <row r="59" spans="1:9" x14ac:dyDescent="0.35">
      <c r="A59" t="s">
        <v>8</v>
      </c>
      <c r="B59">
        <v>2022</v>
      </c>
      <c r="C59" t="s">
        <v>34</v>
      </c>
      <c r="D59" t="s">
        <v>32</v>
      </c>
      <c r="E59" t="str">
        <f>tblData[[#This Row],[Company]]&amp;"|"&amp;tblData[[#This Row],[Line item as reported]]</f>
        <v>Loblaw|Cash flows from operating activities</v>
      </c>
      <c r="F59" t="str">
        <f>_xlfn.XLOOKUP(tblData[[#This Row],[Map key]],tblMap[Map key],tblMap[Standard line item],"UNMAPPED")</f>
        <v>Cash from operating activities</v>
      </c>
      <c r="G59" s="9">
        <v>4755</v>
      </c>
      <c r="H59" t="s">
        <v>113</v>
      </c>
      <c r="I59">
        <v>97</v>
      </c>
    </row>
    <row r="60" spans="1:9" x14ac:dyDescent="0.35">
      <c r="A60" t="s">
        <v>8</v>
      </c>
      <c r="B60">
        <v>2022</v>
      </c>
      <c r="C60" t="s">
        <v>34</v>
      </c>
      <c r="D60" t="s">
        <v>35</v>
      </c>
      <c r="E60" t="str">
        <f>tblData[[#This Row],[Company]]&amp;"|"&amp;tblData[[#This Row],[Line item as reported]]</f>
        <v>Loblaw|Fixed asset purchases</v>
      </c>
      <c r="F60" t="str">
        <f>_xlfn.XLOOKUP(tblData[[#This Row],[Map key]],tblMap[Map key],tblMap[Standard line item],"UNMAPPED")</f>
        <v>Purchases of fixed assets</v>
      </c>
      <c r="G60" s="9">
        <v>1152</v>
      </c>
      <c r="H60" t="s">
        <v>113</v>
      </c>
      <c r="I60">
        <v>97</v>
      </c>
    </row>
    <row r="61" spans="1:9" x14ac:dyDescent="0.35">
      <c r="A61" t="s">
        <v>8</v>
      </c>
      <c r="B61">
        <v>2022</v>
      </c>
      <c r="C61" t="s">
        <v>34</v>
      </c>
      <c r="D61" t="s">
        <v>37</v>
      </c>
      <c r="E61" t="str">
        <f>tblData[[#This Row],[Company]]&amp;"|"&amp;tblData[[#This Row],[Line item as reported]]</f>
        <v>Loblaw|Intangible asset additions</v>
      </c>
      <c r="F61" t="str">
        <f>_xlfn.XLOOKUP(tblData[[#This Row],[Map key]],tblMap[Map key],tblMap[Standard line item],"UNMAPPED")</f>
        <v>Purchases of intangible assets</v>
      </c>
      <c r="G61" s="9">
        <v>419</v>
      </c>
      <c r="H61" t="s">
        <v>113</v>
      </c>
      <c r="I61">
        <v>97</v>
      </c>
    </row>
    <row r="62" spans="1:9" x14ac:dyDescent="0.35">
      <c r="A62" t="s">
        <v>8</v>
      </c>
      <c r="B62">
        <v>2022</v>
      </c>
      <c r="C62" t="s">
        <v>34</v>
      </c>
      <c r="D62" t="s">
        <v>39</v>
      </c>
      <c r="E62" t="str">
        <f>tblData[[#This Row],[Company]]&amp;"|"&amp;tblData[[#This Row],[Line item as reported]]</f>
        <v>Loblaw|Cash rent paid on lease liabilities - Principal</v>
      </c>
      <c r="F62" t="str">
        <f>_xlfn.XLOOKUP(tblData[[#This Row],[Map key]],tblMap[Map key],tblMap[Standard line item],"UNMAPPED")</f>
        <v>Lease principal payments</v>
      </c>
      <c r="G62" s="9">
        <v>994</v>
      </c>
      <c r="H62" t="s">
        <v>113</v>
      </c>
      <c r="I62">
        <v>97</v>
      </c>
    </row>
    <row r="63" spans="1:9" x14ac:dyDescent="0.35">
      <c r="A63" t="s">
        <v>8</v>
      </c>
      <c r="B63">
        <v>2023</v>
      </c>
      <c r="C63" t="s">
        <v>10</v>
      </c>
      <c r="D63" t="s">
        <v>9</v>
      </c>
      <c r="E63" t="str">
        <f>tblData[[#This Row],[Company]]&amp;"|"&amp;tblData[[#This Row],[Line item as reported]]</f>
        <v>Loblaw|Revenue</v>
      </c>
      <c r="F63" t="str">
        <f>_xlfn.XLOOKUP(tblData[[#This Row],[Map key]],tblMap[Map key],tblMap[Standard line item],"UNMAPPED")</f>
        <v>Revenue</v>
      </c>
      <c r="G63" s="9">
        <v>59529</v>
      </c>
      <c r="H63" t="s">
        <v>113</v>
      </c>
      <c r="I63">
        <v>93</v>
      </c>
    </row>
    <row r="64" spans="1:9" x14ac:dyDescent="0.35">
      <c r="A64" t="s">
        <v>8</v>
      </c>
      <c r="B64">
        <v>2023</v>
      </c>
      <c r="C64" t="s">
        <v>10</v>
      </c>
      <c r="D64" t="s">
        <v>12</v>
      </c>
      <c r="E64" t="str">
        <f>tblData[[#This Row],[Company]]&amp;"|"&amp;tblData[[#This Row],[Line item as reported]]</f>
        <v>Loblaw|Cost of sales</v>
      </c>
      <c r="F64" t="str">
        <f>_xlfn.XLOOKUP(tblData[[#This Row],[Map key]],tblMap[Map key],tblMap[Standard line item],"UNMAPPED")</f>
        <v>Cost of sales</v>
      </c>
      <c r="G64" s="9">
        <v>40492</v>
      </c>
      <c r="H64" t="s">
        <v>113</v>
      </c>
      <c r="I64">
        <v>93</v>
      </c>
    </row>
    <row r="65" spans="1:9" x14ac:dyDescent="0.35">
      <c r="A65" t="s">
        <v>8</v>
      </c>
      <c r="B65">
        <v>2023</v>
      </c>
      <c r="C65" t="s">
        <v>10</v>
      </c>
      <c r="D65" t="s">
        <v>13</v>
      </c>
      <c r="E65" t="str">
        <f>tblData[[#This Row],[Company]]&amp;"|"&amp;tblData[[#This Row],[Line item as reported]]</f>
        <v>Loblaw|Net interest expense and other financing charges</v>
      </c>
      <c r="F65" t="str">
        <f>_xlfn.XLOOKUP(tblData[[#This Row],[Map key]],tblMap[Map key],tblMap[Standard line item],"UNMAPPED")</f>
        <v>Net finance costs</v>
      </c>
      <c r="G65" s="9">
        <v>803</v>
      </c>
      <c r="H65" t="s">
        <v>113</v>
      </c>
      <c r="I65">
        <v>93</v>
      </c>
    </row>
    <row r="66" spans="1:9" x14ac:dyDescent="0.35">
      <c r="A66" t="s">
        <v>8</v>
      </c>
      <c r="B66">
        <v>2023</v>
      </c>
      <c r="C66" t="s">
        <v>10</v>
      </c>
      <c r="D66" t="s">
        <v>15</v>
      </c>
      <c r="E66" t="str">
        <f>tblData[[#This Row],[Company]]&amp;"|"&amp;tblData[[#This Row],[Line item as reported]]</f>
        <v>Loblaw|Earnings before income taxes</v>
      </c>
      <c r="F66" t="str">
        <f>_xlfn.XLOOKUP(tblData[[#This Row],[Map key]],tblMap[Map key],tblMap[Standard line item],"UNMAPPED")</f>
        <v>Earnings before income taxes</v>
      </c>
      <c r="G66" s="9">
        <v>2901</v>
      </c>
      <c r="H66" t="s">
        <v>113</v>
      </c>
      <c r="I66">
        <v>93</v>
      </c>
    </row>
    <row r="67" spans="1:9" x14ac:dyDescent="0.35">
      <c r="A67" t="s">
        <v>8</v>
      </c>
      <c r="B67">
        <v>2023</v>
      </c>
      <c r="C67" t="s">
        <v>10</v>
      </c>
      <c r="D67" t="s">
        <v>16</v>
      </c>
      <c r="E67" t="str">
        <f>tblData[[#This Row],[Company]]&amp;"|"&amp;tblData[[#This Row],[Line item as reported]]</f>
        <v>Loblaw|Income taxes</v>
      </c>
      <c r="F67" t="str">
        <f>_xlfn.XLOOKUP(tblData[[#This Row],[Map key]],tblMap[Map key],tblMap[Standard line item],"UNMAPPED")</f>
        <v>Income taxes</v>
      </c>
      <c r="G67" s="9">
        <v>714</v>
      </c>
      <c r="H67" t="s">
        <v>113</v>
      </c>
      <c r="I67">
        <v>93</v>
      </c>
    </row>
    <row r="68" spans="1:9" x14ac:dyDescent="0.35">
      <c r="A68" t="s">
        <v>8</v>
      </c>
      <c r="B68">
        <v>2023</v>
      </c>
      <c r="C68" t="s">
        <v>10</v>
      </c>
      <c r="D68" t="s">
        <v>17</v>
      </c>
      <c r="E68" t="str">
        <f>tblData[[#This Row],[Company]]&amp;"|"&amp;tblData[[#This Row],[Line item as reported]]</f>
        <v>Loblaw|No discontinued operations</v>
      </c>
      <c r="F68" t="str">
        <f>_xlfn.XLOOKUP(tblData[[#This Row],[Map key]],tblMap[Map key],tblMap[Standard line item],"UNMAPPED")</f>
        <v>Net earnings from discontinued operations</v>
      </c>
      <c r="G68" s="9">
        <v>0</v>
      </c>
      <c r="H68" t="s">
        <v>113</v>
      </c>
      <c r="I68">
        <v>93</v>
      </c>
    </row>
    <row r="69" spans="1:9" x14ac:dyDescent="0.35">
      <c r="A69" t="s">
        <v>8</v>
      </c>
      <c r="B69">
        <v>2023</v>
      </c>
      <c r="C69" t="s">
        <v>10</v>
      </c>
      <c r="D69" t="s">
        <v>20</v>
      </c>
      <c r="E69" t="str">
        <f>tblData[[#This Row],[Company]]&amp;"|"&amp;tblData[[#This Row],[Line item as reported]]</f>
        <v>Loblaw|Net earnings</v>
      </c>
      <c r="F69" t="str">
        <f>_xlfn.XLOOKUP(tblData[[#This Row],[Map key]],tblMap[Map key],tblMap[Standard line item],"UNMAPPED")</f>
        <v>Net earnings</v>
      </c>
      <c r="G69" s="9">
        <v>2187</v>
      </c>
      <c r="H69" t="s">
        <v>113</v>
      </c>
      <c r="I69">
        <v>93</v>
      </c>
    </row>
    <row r="70" spans="1:9" x14ac:dyDescent="0.35">
      <c r="A70" t="s">
        <v>8</v>
      </c>
      <c r="B70">
        <v>2023</v>
      </c>
      <c r="C70" t="s">
        <v>10</v>
      </c>
      <c r="D70" t="s">
        <v>21</v>
      </c>
      <c r="E70" t="str">
        <f>tblData[[#This Row],[Company]]&amp;"|"&amp;tblData[[#This Row],[Line item as reported]]</f>
        <v>Loblaw|Shareholders of the Company</v>
      </c>
      <c r="F70" t="str">
        <f>_xlfn.XLOOKUP(tblData[[#This Row],[Map key]],tblMap[Map key],tblMap[Standard line item],"UNMAPPED")</f>
        <v>Net earnings attributable to shareholders</v>
      </c>
      <c r="G70" s="9">
        <v>2100</v>
      </c>
      <c r="H70" t="s">
        <v>113</v>
      </c>
      <c r="I70">
        <v>93</v>
      </c>
    </row>
    <row r="71" spans="1:9" x14ac:dyDescent="0.35">
      <c r="A71" t="s">
        <v>8</v>
      </c>
      <c r="B71">
        <v>2023</v>
      </c>
      <c r="C71" t="s">
        <v>24</v>
      </c>
      <c r="D71" t="s">
        <v>23</v>
      </c>
      <c r="E71" t="str">
        <f>tblData[[#This Row],[Company]]&amp;"|"&amp;tblData[[#This Row],[Line item as reported]]</f>
        <v>Loblaw|Inventories</v>
      </c>
      <c r="F71" t="str">
        <f>_xlfn.XLOOKUP(tblData[[#This Row],[Map key]],tblMap[Map key],tblMap[Standard line item],"UNMAPPED")</f>
        <v>Inventories</v>
      </c>
      <c r="G71" s="9">
        <v>5820</v>
      </c>
      <c r="H71" t="s">
        <v>113</v>
      </c>
      <c r="I71">
        <v>96</v>
      </c>
    </row>
    <row r="72" spans="1:9" x14ac:dyDescent="0.35">
      <c r="A72" t="s">
        <v>8</v>
      </c>
      <c r="B72">
        <v>2023</v>
      </c>
      <c r="C72" t="s">
        <v>24</v>
      </c>
      <c r="D72" t="s">
        <v>25</v>
      </c>
      <c r="E72" t="str">
        <f>tblData[[#This Row],[Company]]&amp;"|"&amp;tblData[[#This Row],[Line item as reported]]</f>
        <v>Loblaw|Total current assets</v>
      </c>
      <c r="F72" t="str">
        <f>_xlfn.XLOOKUP(tblData[[#This Row],[Map key]],tblMap[Map key],tblMap[Standard line item],"UNMAPPED")</f>
        <v>Total current assets</v>
      </c>
      <c r="G72" s="9">
        <v>13578</v>
      </c>
      <c r="H72" t="s">
        <v>113</v>
      </c>
      <c r="I72">
        <v>96</v>
      </c>
    </row>
    <row r="73" spans="1:9" x14ac:dyDescent="0.35">
      <c r="A73" t="s">
        <v>8</v>
      </c>
      <c r="B73">
        <v>2023</v>
      </c>
      <c r="C73" t="s">
        <v>24</v>
      </c>
      <c r="D73" t="s">
        <v>26</v>
      </c>
      <c r="E73" t="str">
        <f>tblData[[#This Row],[Company]]&amp;"|"&amp;tblData[[#This Row],[Line item as reported]]</f>
        <v>Loblaw|Total assets</v>
      </c>
      <c r="F73" t="str">
        <f>_xlfn.XLOOKUP(tblData[[#This Row],[Map key]],tblMap[Map key],tblMap[Standard line item],"UNMAPPED")</f>
        <v>Total assets</v>
      </c>
      <c r="G73" s="9">
        <v>38979</v>
      </c>
      <c r="H73" t="s">
        <v>113</v>
      </c>
      <c r="I73">
        <v>96</v>
      </c>
    </row>
    <row r="74" spans="1:9" x14ac:dyDescent="0.35">
      <c r="A74" t="s">
        <v>8</v>
      </c>
      <c r="B74">
        <v>2023</v>
      </c>
      <c r="C74" t="s">
        <v>24</v>
      </c>
      <c r="D74" t="s">
        <v>27</v>
      </c>
      <c r="E74" t="str">
        <f>tblData[[#This Row],[Company]]&amp;"|"&amp;tblData[[#This Row],[Line item as reported]]</f>
        <v>Loblaw|Total current liabilities</v>
      </c>
      <c r="F74" t="str">
        <f>_xlfn.XLOOKUP(tblData[[#This Row],[Map key]],tblMap[Map key],tblMap[Standard line item],"UNMAPPED")</f>
        <v>Total current liabilities</v>
      </c>
      <c r="G74" s="9">
        <v>10847</v>
      </c>
      <c r="H74" t="s">
        <v>113</v>
      </c>
      <c r="I74">
        <v>96</v>
      </c>
    </row>
    <row r="75" spans="1:9" x14ac:dyDescent="0.35">
      <c r="A75" t="s">
        <v>8</v>
      </c>
      <c r="B75">
        <v>2023</v>
      </c>
      <c r="C75" t="s">
        <v>24</v>
      </c>
      <c r="D75" t="s">
        <v>28</v>
      </c>
      <c r="E75" t="str">
        <f>tblData[[#This Row],[Company]]&amp;"|"&amp;tblData[[#This Row],[Line item as reported]]</f>
        <v>Loblaw|Total liabilities</v>
      </c>
      <c r="F75" t="str">
        <f>_xlfn.XLOOKUP(tblData[[#This Row],[Map key]],tblMap[Map key],tblMap[Standard line item],"UNMAPPED")</f>
        <v>Total liabilities</v>
      </c>
      <c r="G75" s="9">
        <v>27360</v>
      </c>
      <c r="H75" t="s">
        <v>113</v>
      </c>
      <c r="I75">
        <v>96</v>
      </c>
    </row>
    <row r="76" spans="1:9" x14ac:dyDescent="0.35">
      <c r="A76" t="s">
        <v>8</v>
      </c>
      <c r="B76">
        <v>2023</v>
      </c>
      <c r="C76" t="s">
        <v>24</v>
      </c>
      <c r="D76" t="s">
        <v>29</v>
      </c>
      <c r="E76" t="str">
        <f>tblData[[#This Row],[Company]]&amp;"|"&amp;tblData[[#This Row],[Line item as reported]]</f>
        <v>Loblaw|Total equity</v>
      </c>
      <c r="F76" t="str">
        <f>_xlfn.XLOOKUP(tblData[[#This Row],[Map key]],tblMap[Map key],tblMap[Standard line item],"UNMAPPED")</f>
        <v>Total equity</v>
      </c>
      <c r="G76" s="9">
        <v>11619</v>
      </c>
      <c r="H76" t="s">
        <v>113</v>
      </c>
      <c r="I76">
        <v>96</v>
      </c>
    </row>
    <row r="77" spans="1:9" x14ac:dyDescent="0.35">
      <c r="A77" t="s">
        <v>8</v>
      </c>
      <c r="B77">
        <v>2023</v>
      </c>
      <c r="C77" t="s">
        <v>24</v>
      </c>
      <c r="D77" t="s">
        <v>30</v>
      </c>
      <c r="E77" t="str">
        <f>tblData[[#This Row],[Company]]&amp;"|"&amp;tblData[[#This Row],[Line item as reported]]</f>
        <v>Loblaw|Total equity attributable to shareholders of the Company</v>
      </c>
      <c r="F77" t="str">
        <f>_xlfn.XLOOKUP(tblData[[#This Row],[Map key]],tblMap[Map key],tblMap[Standard line item],"UNMAPPED")</f>
        <v>Equity attributable to shareholders</v>
      </c>
      <c r="G77" s="9">
        <v>11464</v>
      </c>
      <c r="H77" t="s">
        <v>113</v>
      </c>
      <c r="I77">
        <v>96</v>
      </c>
    </row>
    <row r="78" spans="1:9" x14ac:dyDescent="0.35">
      <c r="A78" t="s">
        <v>8</v>
      </c>
      <c r="B78">
        <v>2023</v>
      </c>
      <c r="C78" t="s">
        <v>34</v>
      </c>
      <c r="D78" t="s">
        <v>32</v>
      </c>
      <c r="E78" t="str">
        <f>tblData[[#This Row],[Company]]&amp;"|"&amp;tblData[[#This Row],[Line item as reported]]</f>
        <v>Loblaw|Cash flows from operating activities</v>
      </c>
      <c r="F78" t="str">
        <f>_xlfn.XLOOKUP(tblData[[#This Row],[Map key]],tblMap[Map key],tblMap[Standard line item],"UNMAPPED")</f>
        <v>Cash from operating activities</v>
      </c>
      <c r="G78" s="9">
        <v>5654</v>
      </c>
      <c r="H78" t="s">
        <v>113</v>
      </c>
      <c r="I78">
        <v>97</v>
      </c>
    </row>
    <row r="79" spans="1:9" x14ac:dyDescent="0.35">
      <c r="A79" t="s">
        <v>8</v>
      </c>
      <c r="B79">
        <v>2023</v>
      </c>
      <c r="C79" t="s">
        <v>34</v>
      </c>
      <c r="D79" t="s">
        <v>35</v>
      </c>
      <c r="E79" t="str">
        <f>tblData[[#This Row],[Company]]&amp;"|"&amp;tblData[[#This Row],[Line item as reported]]</f>
        <v>Loblaw|Fixed asset purchases</v>
      </c>
      <c r="F79" t="str">
        <f>_xlfn.XLOOKUP(tblData[[#This Row],[Map key]],tblMap[Map key],tblMap[Standard line item],"UNMAPPED")</f>
        <v>Purchases of fixed assets</v>
      </c>
      <c r="G79" s="9">
        <v>1665</v>
      </c>
      <c r="H79" t="s">
        <v>113</v>
      </c>
      <c r="I79">
        <v>97</v>
      </c>
    </row>
    <row r="80" spans="1:9" x14ac:dyDescent="0.35">
      <c r="A80" t="s">
        <v>8</v>
      </c>
      <c r="B80">
        <v>2023</v>
      </c>
      <c r="C80" t="s">
        <v>34</v>
      </c>
      <c r="D80" t="s">
        <v>37</v>
      </c>
      <c r="E80" t="str">
        <f>tblData[[#This Row],[Company]]&amp;"|"&amp;tblData[[#This Row],[Line item as reported]]</f>
        <v>Loblaw|Intangible asset additions</v>
      </c>
      <c r="F80" t="str">
        <f>_xlfn.XLOOKUP(tblData[[#This Row],[Map key]],tblMap[Map key],tblMap[Standard line item],"UNMAPPED")</f>
        <v>Purchases of intangible assets</v>
      </c>
      <c r="G80" s="9">
        <v>407</v>
      </c>
      <c r="H80" t="s">
        <v>113</v>
      </c>
      <c r="I80">
        <v>97</v>
      </c>
    </row>
    <row r="81" spans="1:9" x14ac:dyDescent="0.35">
      <c r="A81" t="s">
        <v>8</v>
      </c>
      <c r="B81">
        <v>2023</v>
      </c>
      <c r="C81" t="s">
        <v>34</v>
      </c>
      <c r="D81" t="s">
        <v>39</v>
      </c>
      <c r="E81" t="str">
        <f>tblData[[#This Row],[Company]]&amp;"|"&amp;tblData[[#This Row],[Line item as reported]]</f>
        <v>Loblaw|Cash rent paid on lease liabilities - Principal</v>
      </c>
      <c r="F81" t="str">
        <f>_xlfn.XLOOKUP(tblData[[#This Row],[Map key]],tblMap[Map key],tblMap[Standard line item],"UNMAPPED")</f>
        <v>Lease principal payments</v>
      </c>
      <c r="G81" s="9">
        <v>1071</v>
      </c>
      <c r="H81" t="s">
        <v>113</v>
      </c>
      <c r="I81">
        <v>97</v>
      </c>
    </row>
    <row r="82" spans="1:9" x14ac:dyDescent="0.35">
      <c r="A82" t="s">
        <v>8</v>
      </c>
      <c r="B82">
        <v>2024</v>
      </c>
      <c r="C82" t="s">
        <v>10</v>
      </c>
      <c r="D82" t="s">
        <v>9</v>
      </c>
      <c r="E82" t="str">
        <f>tblData[[#This Row],[Company]]&amp;"|"&amp;tblData[[#This Row],[Line item as reported]]</f>
        <v>Loblaw|Revenue</v>
      </c>
      <c r="F82" t="str">
        <f>_xlfn.XLOOKUP(tblData[[#This Row],[Map key]],tblMap[Map key],tblMap[Standard line item],"UNMAPPED")</f>
        <v>Revenue</v>
      </c>
      <c r="G82" s="9">
        <v>60123</v>
      </c>
      <c r="H82" t="s">
        <v>114</v>
      </c>
      <c r="I82">
        <v>102</v>
      </c>
    </row>
    <row r="83" spans="1:9" x14ac:dyDescent="0.35">
      <c r="A83" t="s">
        <v>8</v>
      </c>
      <c r="B83">
        <v>2024</v>
      </c>
      <c r="C83" t="s">
        <v>10</v>
      </c>
      <c r="D83" t="s">
        <v>12</v>
      </c>
      <c r="E83" t="str">
        <f>tblData[[#This Row],[Company]]&amp;"|"&amp;tblData[[#This Row],[Line item as reported]]</f>
        <v>Loblaw|Cost of sales</v>
      </c>
      <c r="F83" t="str">
        <f>_xlfn.XLOOKUP(tblData[[#This Row],[Map key]],tblMap[Map key],tblMap[Standard line item],"UNMAPPED")</f>
        <v>Cost of sales</v>
      </c>
      <c r="G83" s="9">
        <v>41288</v>
      </c>
      <c r="H83" t="s">
        <v>114</v>
      </c>
      <c r="I83">
        <v>102</v>
      </c>
    </row>
    <row r="84" spans="1:9" x14ac:dyDescent="0.35">
      <c r="A84" t="s">
        <v>8</v>
      </c>
      <c r="B84">
        <v>2024</v>
      </c>
      <c r="C84" t="s">
        <v>10</v>
      </c>
      <c r="D84" t="s">
        <v>13</v>
      </c>
      <c r="E84" t="str">
        <f>tblData[[#This Row],[Company]]&amp;"|"&amp;tblData[[#This Row],[Line item as reported]]</f>
        <v>Loblaw|Net interest expense and other financing charges</v>
      </c>
      <c r="F84" t="str">
        <f>_xlfn.XLOOKUP(tblData[[#This Row],[Map key]],tblMap[Map key],tblMap[Standard line item],"UNMAPPED")</f>
        <v>Net finance costs</v>
      </c>
      <c r="G84" s="9">
        <v>683</v>
      </c>
      <c r="H84" t="s">
        <v>114</v>
      </c>
      <c r="I84">
        <v>102</v>
      </c>
    </row>
    <row r="85" spans="1:9" x14ac:dyDescent="0.35">
      <c r="A85" t="s">
        <v>8</v>
      </c>
      <c r="B85">
        <v>2024</v>
      </c>
      <c r="C85" t="s">
        <v>10</v>
      </c>
      <c r="D85" t="s">
        <v>15</v>
      </c>
      <c r="E85" t="str">
        <f>tblData[[#This Row],[Company]]&amp;"|"&amp;tblData[[#This Row],[Line item as reported]]</f>
        <v>Loblaw|Earnings before income taxes</v>
      </c>
      <c r="F85" t="str">
        <f>_xlfn.XLOOKUP(tblData[[#This Row],[Map key]],tblMap[Map key],tblMap[Standard line item],"UNMAPPED")</f>
        <v>Earnings before income taxes</v>
      </c>
      <c r="G85" s="9">
        <v>2791</v>
      </c>
      <c r="H85" t="s">
        <v>114</v>
      </c>
      <c r="I85">
        <v>102</v>
      </c>
    </row>
    <row r="86" spans="1:9" x14ac:dyDescent="0.35">
      <c r="A86" t="s">
        <v>8</v>
      </c>
      <c r="B86">
        <v>2024</v>
      </c>
      <c r="C86" t="s">
        <v>10</v>
      </c>
      <c r="D86" t="s">
        <v>16</v>
      </c>
      <c r="E86" t="str">
        <f>tblData[[#This Row],[Company]]&amp;"|"&amp;tblData[[#This Row],[Line item as reported]]</f>
        <v>Loblaw|Income taxes</v>
      </c>
      <c r="F86" t="str">
        <f>_xlfn.XLOOKUP(tblData[[#This Row],[Map key]],tblMap[Map key],tblMap[Standard line item],"UNMAPPED")</f>
        <v>Income taxes</v>
      </c>
      <c r="G86" s="9">
        <v>731</v>
      </c>
      <c r="H86" t="s">
        <v>114</v>
      </c>
      <c r="I86">
        <v>102</v>
      </c>
    </row>
    <row r="87" spans="1:9" x14ac:dyDescent="0.35">
      <c r="A87" t="s">
        <v>8</v>
      </c>
      <c r="B87">
        <v>2024</v>
      </c>
      <c r="C87" t="s">
        <v>10</v>
      </c>
      <c r="D87" t="s">
        <v>18</v>
      </c>
      <c r="E87" t="str">
        <f>tblData[[#This Row],[Company]]&amp;"|"&amp;tblData[[#This Row],[Line item as reported]]</f>
        <v>Loblaw|Net earnings from discontinued operations</v>
      </c>
      <c r="F87" t="str">
        <f>_xlfn.XLOOKUP(tblData[[#This Row],[Map key]],tblMap[Map key],tblMap[Standard line item],"UNMAPPED")</f>
        <v>Net earnings from discontinued operations</v>
      </c>
      <c r="G87" s="9">
        <v>215</v>
      </c>
      <c r="H87" t="s">
        <v>114</v>
      </c>
      <c r="I87">
        <v>102</v>
      </c>
    </row>
    <row r="88" spans="1:9" x14ac:dyDescent="0.35">
      <c r="A88" t="s">
        <v>8</v>
      </c>
      <c r="B88">
        <v>2024</v>
      </c>
      <c r="C88" t="s">
        <v>10</v>
      </c>
      <c r="D88" t="s">
        <v>20</v>
      </c>
      <c r="E88" t="str">
        <f>tblData[[#This Row],[Company]]&amp;"|"&amp;tblData[[#This Row],[Line item as reported]]</f>
        <v>Loblaw|Net earnings</v>
      </c>
      <c r="F88" t="str">
        <f>_xlfn.XLOOKUP(tblData[[#This Row],[Map key]],tblMap[Map key],tblMap[Standard line item],"UNMAPPED")</f>
        <v>Net earnings</v>
      </c>
      <c r="G88" s="9">
        <v>2275</v>
      </c>
      <c r="H88" t="s">
        <v>114</v>
      </c>
      <c r="I88">
        <v>102</v>
      </c>
    </row>
    <row r="89" spans="1:9" x14ac:dyDescent="0.35">
      <c r="A89" t="s">
        <v>8</v>
      </c>
      <c r="B89">
        <v>2024</v>
      </c>
      <c r="C89" t="s">
        <v>10</v>
      </c>
      <c r="D89" t="s">
        <v>21</v>
      </c>
      <c r="E89" t="str">
        <f>tblData[[#This Row],[Company]]&amp;"|"&amp;tblData[[#This Row],[Line item as reported]]</f>
        <v>Loblaw|Shareholders of the Company</v>
      </c>
      <c r="F89" t="str">
        <f>_xlfn.XLOOKUP(tblData[[#This Row],[Map key]],tblMap[Map key],tblMap[Standard line item],"UNMAPPED")</f>
        <v>Net earnings attributable to shareholders</v>
      </c>
      <c r="G89" s="9">
        <v>2171</v>
      </c>
      <c r="H89" t="s">
        <v>114</v>
      </c>
      <c r="I89">
        <v>102</v>
      </c>
    </row>
    <row r="90" spans="1:9" x14ac:dyDescent="0.35">
      <c r="A90" t="s">
        <v>8</v>
      </c>
      <c r="B90">
        <v>2024</v>
      </c>
      <c r="C90" t="s">
        <v>24</v>
      </c>
      <c r="D90" t="s">
        <v>23</v>
      </c>
      <c r="E90" t="str">
        <f>tblData[[#This Row],[Company]]&amp;"|"&amp;tblData[[#This Row],[Line item as reported]]</f>
        <v>Loblaw|Inventories</v>
      </c>
      <c r="F90" t="str">
        <f>_xlfn.XLOOKUP(tblData[[#This Row],[Map key]],tblMap[Map key],tblMap[Standard line item],"UNMAPPED")</f>
        <v>Inventories</v>
      </c>
      <c r="G90" s="9">
        <v>6330</v>
      </c>
      <c r="H90" t="s">
        <v>114</v>
      </c>
      <c r="I90">
        <v>105</v>
      </c>
    </row>
    <row r="91" spans="1:9" x14ac:dyDescent="0.35">
      <c r="A91" t="s">
        <v>8</v>
      </c>
      <c r="B91">
        <v>2024</v>
      </c>
      <c r="C91" t="s">
        <v>24</v>
      </c>
      <c r="D91" t="s">
        <v>25</v>
      </c>
      <c r="E91" t="str">
        <f>tblData[[#This Row],[Company]]&amp;"|"&amp;tblData[[#This Row],[Line item as reported]]</f>
        <v>Loblaw|Total current assets</v>
      </c>
      <c r="F91" t="str">
        <f>_xlfn.XLOOKUP(tblData[[#This Row],[Map key]],tblMap[Map key],tblMap[Standard line item],"UNMAPPED")</f>
        <v>Total current assets</v>
      </c>
      <c r="G91" s="9">
        <v>14548</v>
      </c>
      <c r="H91" t="s">
        <v>114</v>
      </c>
      <c r="I91">
        <v>105</v>
      </c>
    </row>
    <row r="92" spans="1:9" x14ac:dyDescent="0.35">
      <c r="A92" t="s">
        <v>8</v>
      </c>
      <c r="B92">
        <v>2024</v>
      </c>
      <c r="C92" t="s">
        <v>24</v>
      </c>
      <c r="D92" t="s">
        <v>26</v>
      </c>
      <c r="E92" t="str">
        <f>tblData[[#This Row],[Company]]&amp;"|"&amp;tblData[[#This Row],[Line item as reported]]</f>
        <v>Loblaw|Total assets</v>
      </c>
      <c r="F92" t="str">
        <f>_xlfn.XLOOKUP(tblData[[#This Row],[Map key]],tblMap[Map key],tblMap[Standard line item],"UNMAPPED")</f>
        <v>Total assets</v>
      </c>
      <c r="G92" s="9">
        <v>40880</v>
      </c>
      <c r="H92" t="s">
        <v>114</v>
      </c>
      <c r="I92">
        <v>105</v>
      </c>
    </row>
    <row r="93" spans="1:9" x14ac:dyDescent="0.35">
      <c r="A93" t="s">
        <v>8</v>
      </c>
      <c r="B93">
        <v>2024</v>
      </c>
      <c r="C93" t="s">
        <v>24</v>
      </c>
      <c r="D93" t="s">
        <v>27</v>
      </c>
      <c r="E93" t="str">
        <f>tblData[[#This Row],[Company]]&amp;"|"&amp;tblData[[#This Row],[Line item as reported]]</f>
        <v>Loblaw|Total current liabilities</v>
      </c>
      <c r="F93" t="str">
        <f>_xlfn.XLOOKUP(tblData[[#This Row],[Map key]],tblMap[Map key],tblMap[Standard line item],"UNMAPPED")</f>
        <v>Total current liabilities</v>
      </c>
      <c r="G93" s="9">
        <v>11768</v>
      </c>
      <c r="H93" t="s">
        <v>114</v>
      </c>
      <c r="I93">
        <v>105</v>
      </c>
    </row>
    <row r="94" spans="1:9" x14ac:dyDescent="0.35">
      <c r="A94" t="s">
        <v>8</v>
      </c>
      <c r="B94">
        <v>2024</v>
      </c>
      <c r="C94" t="s">
        <v>24</v>
      </c>
      <c r="D94" t="s">
        <v>28</v>
      </c>
      <c r="E94" t="str">
        <f>tblData[[#This Row],[Company]]&amp;"|"&amp;tblData[[#This Row],[Line item as reported]]</f>
        <v>Loblaw|Total liabilities</v>
      </c>
      <c r="F94" t="str">
        <f>_xlfn.XLOOKUP(tblData[[#This Row],[Map key]],tblMap[Map key],tblMap[Standard line item],"UNMAPPED")</f>
        <v>Total liabilities</v>
      </c>
      <c r="G94" s="9">
        <v>29614</v>
      </c>
      <c r="H94" t="s">
        <v>114</v>
      </c>
      <c r="I94">
        <v>105</v>
      </c>
    </row>
    <row r="95" spans="1:9" x14ac:dyDescent="0.35">
      <c r="A95" t="s">
        <v>8</v>
      </c>
      <c r="B95">
        <v>2024</v>
      </c>
      <c r="C95" t="s">
        <v>24</v>
      </c>
      <c r="D95" t="s">
        <v>29</v>
      </c>
      <c r="E95" t="str">
        <f>tblData[[#This Row],[Company]]&amp;"|"&amp;tblData[[#This Row],[Line item as reported]]</f>
        <v>Loblaw|Total equity</v>
      </c>
      <c r="F95" t="str">
        <f>_xlfn.XLOOKUP(tblData[[#This Row],[Map key]],tblMap[Map key],tblMap[Standard line item],"UNMAPPED")</f>
        <v>Total equity</v>
      </c>
      <c r="G95" s="9">
        <v>11266</v>
      </c>
      <c r="H95" t="s">
        <v>114</v>
      </c>
      <c r="I95">
        <v>105</v>
      </c>
    </row>
    <row r="96" spans="1:9" x14ac:dyDescent="0.35">
      <c r="A96" t="s">
        <v>8</v>
      </c>
      <c r="B96">
        <v>2024</v>
      </c>
      <c r="C96" t="s">
        <v>24</v>
      </c>
      <c r="D96" t="s">
        <v>30</v>
      </c>
      <c r="E96" t="str">
        <f>tblData[[#This Row],[Company]]&amp;"|"&amp;tblData[[#This Row],[Line item as reported]]</f>
        <v>Loblaw|Total equity attributable to shareholders of the Company</v>
      </c>
      <c r="F96" t="str">
        <f>_xlfn.XLOOKUP(tblData[[#This Row],[Map key]],tblMap[Map key],tblMap[Standard line item],"UNMAPPED")</f>
        <v>Equity attributable to shareholders</v>
      </c>
      <c r="G96" s="9">
        <v>11091</v>
      </c>
      <c r="H96" t="s">
        <v>114</v>
      </c>
      <c r="I96">
        <v>105</v>
      </c>
    </row>
    <row r="97" spans="1:9" x14ac:dyDescent="0.35">
      <c r="A97" t="s">
        <v>8</v>
      </c>
      <c r="B97">
        <v>2024</v>
      </c>
      <c r="C97" t="s">
        <v>34</v>
      </c>
      <c r="D97" t="s">
        <v>32</v>
      </c>
      <c r="E97" t="str">
        <f>tblData[[#This Row],[Company]]&amp;"|"&amp;tblData[[#This Row],[Line item as reported]]</f>
        <v>Loblaw|Cash flows from operating activities</v>
      </c>
      <c r="F97" t="str">
        <f>_xlfn.XLOOKUP(tblData[[#This Row],[Map key]],tblMap[Map key],tblMap[Standard line item],"UNMAPPED")</f>
        <v>Cash from operating activities</v>
      </c>
      <c r="G97" s="9">
        <v>5802</v>
      </c>
      <c r="H97" t="s">
        <v>114</v>
      </c>
      <c r="I97">
        <v>106</v>
      </c>
    </row>
    <row r="98" spans="1:9" x14ac:dyDescent="0.35">
      <c r="A98" t="s">
        <v>8</v>
      </c>
      <c r="B98">
        <v>2024</v>
      </c>
      <c r="C98" t="s">
        <v>34</v>
      </c>
      <c r="D98" t="s">
        <v>35</v>
      </c>
      <c r="E98" t="str">
        <f>tblData[[#This Row],[Company]]&amp;"|"&amp;tblData[[#This Row],[Line item as reported]]</f>
        <v>Loblaw|Fixed asset purchases</v>
      </c>
      <c r="F98" t="str">
        <f>_xlfn.XLOOKUP(tblData[[#This Row],[Map key]],tblMap[Map key],tblMap[Standard line item],"UNMAPPED")</f>
        <v>Purchases of fixed assets</v>
      </c>
      <c r="G98" s="9">
        <v>1823</v>
      </c>
      <c r="H98" t="s">
        <v>114</v>
      </c>
      <c r="I98">
        <v>106</v>
      </c>
    </row>
    <row r="99" spans="1:9" x14ac:dyDescent="0.35">
      <c r="A99" t="s">
        <v>8</v>
      </c>
      <c r="B99">
        <v>2024</v>
      </c>
      <c r="C99" t="s">
        <v>34</v>
      </c>
      <c r="D99" t="s">
        <v>37</v>
      </c>
      <c r="E99" t="str">
        <f>tblData[[#This Row],[Company]]&amp;"|"&amp;tblData[[#This Row],[Line item as reported]]</f>
        <v>Loblaw|Intangible asset additions</v>
      </c>
      <c r="F99" t="str">
        <f>_xlfn.XLOOKUP(tblData[[#This Row],[Map key]],tblMap[Map key],tblMap[Standard line item],"UNMAPPED")</f>
        <v>Purchases of intangible assets</v>
      </c>
      <c r="G99" s="9">
        <v>377</v>
      </c>
      <c r="H99" t="s">
        <v>114</v>
      </c>
      <c r="I99">
        <v>106</v>
      </c>
    </row>
    <row r="100" spans="1:9" x14ac:dyDescent="0.35">
      <c r="A100" t="s">
        <v>8</v>
      </c>
      <c r="B100">
        <v>2024</v>
      </c>
      <c r="C100" t="s">
        <v>34</v>
      </c>
      <c r="D100" t="s">
        <v>39</v>
      </c>
      <c r="E100" t="str">
        <f>tblData[[#This Row],[Company]]&amp;"|"&amp;tblData[[#This Row],[Line item as reported]]</f>
        <v>Loblaw|Cash rent paid on lease liabilities - Principal</v>
      </c>
      <c r="F100" t="str">
        <f>_xlfn.XLOOKUP(tblData[[#This Row],[Map key]],tblMap[Map key],tblMap[Standard line item],"UNMAPPED")</f>
        <v>Lease principal payments</v>
      </c>
      <c r="G100" s="9">
        <v>1086</v>
      </c>
      <c r="H100" t="s">
        <v>114</v>
      </c>
      <c r="I100">
        <v>106</v>
      </c>
    </row>
    <row r="101" spans="1:9" x14ac:dyDescent="0.35">
      <c r="A101" t="s">
        <v>8</v>
      </c>
      <c r="B101">
        <v>2025</v>
      </c>
      <c r="C101" t="s">
        <v>10</v>
      </c>
      <c r="D101" t="s">
        <v>9</v>
      </c>
      <c r="E101" t="str">
        <f>tblData[[#This Row],[Company]]&amp;"|"&amp;tblData[[#This Row],[Line item as reported]]</f>
        <v>Loblaw|Revenue</v>
      </c>
      <c r="F101" t="str">
        <f>_xlfn.XLOOKUP(tblData[[#This Row],[Map key]],tblMap[Map key],tblMap[Standard line item],"UNMAPPED")</f>
        <v>Revenue</v>
      </c>
      <c r="G101" s="9">
        <v>63903</v>
      </c>
      <c r="H101" t="s">
        <v>114</v>
      </c>
      <c r="I101">
        <v>102</v>
      </c>
    </row>
    <row r="102" spans="1:9" x14ac:dyDescent="0.35">
      <c r="A102" t="s">
        <v>8</v>
      </c>
      <c r="B102">
        <v>2025</v>
      </c>
      <c r="C102" t="s">
        <v>10</v>
      </c>
      <c r="D102" t="s">
        <v>12</v>
      </c>
      <c r="E102" t="str">
        <f>tblData[[#This Row],[Company]]&amp;"|"&amp;tblData[[#This Row],[Line item as reported]]</f>
        <v>Loblaw|Cost of sales</v>
      </c>
      <c r="F102" t="str">
        <f>_xlfn.XLOOKUP(tblData[[#This Row],[Map key]],tblMap[Map key],tblMap[Standard line item],"UNMAPPED")</f>
        <v>Cost of sales</v>
      </c>
      <c r="G102" s="9">
        <v>43871</v>
      </c>
      <c r="H102" t="s">
        <v>114</v>
      </c>
      <c r="I102">
        <v>102</v>
      </c>
    </row>
    <row r="103" spans="1:9" x14ac:dyDescent="0.35">
      <c r="A103" t="s">
        <v>8</v>
      </c>
      <c r="B103">
        <v>2025</v>
      </c>
      <c r="C103" t="s">
        <v>10</v>
      </c>
      <c r="D103" t="s">
        <v>13</v>
      </c>
      <c r="E103" t="str">
        <f>tblData[[#This Row],[Company]]&amp;"|"&amp;tblData[[#This Row],[Line item as reported]]</f>
        <v>Loblaw|Net interest expense and other financing charges</v>
      </c>
      <c r="F103" t="str">
        <f>_xlfn.XLOOKUP(tblData[[#This Row],[Map key]],tblMap[Map key],tblMap[Standard line item],"UNMAPPED")</f>
        <v>Net finance costs</v>
      </c>
      <c r="G103" s="9">
        <v>742</v>
      </c>
      <c r="H103" t="s">
        <v>114</v>
      </c>
      <c r="I103">
        <v>102</v>
      </c>
    </row>
    <row r="104" spans="1:9" x14ac:dyDescent="0.35">
      <c r="A104" t="s">
        <v>8</v>
      </c>
      <c r="B104">
        <v>2025</v>
      </c>
      <c r="C104" t="s">
        <v>10</v>
      </c>
      <c r="D104" t="s">
        <v>15</v>
      </c>
      <c r="E104" t="str">
        <f>tblData[[#This Row],[Company]]&amp;"|"&amp;tblData[[#This Row],[Line item as reported]]</f>
        <v>Loblaw|Earnings before income taxes</v>
      </c>
      <c r="F104" t="str">
        <f>_xlfn.XLOOKUP(tblData[[#This Row],[Map key]],tblMap[Map key],tblMap[Standard line item],"UNMAPPED")</f>
        <v>Earnings before income taxes</v>
      </c>
      <c r="G104" s="9">
        <v>3682</v>
      </c>
      <c r="H104" t="s">
        <v>114</v>
      </c>
      <c r="I104">
        <v>102</v>
      </c>
    </row>
    <row r="105" spans="1:9" x14ac:dyDescent="0.35">
      <c r="A105" t="s">
        <v>8</v>
      </c>
      <c r="B105">
        <v>2025</v>
      </c>
      <c r="C105" t="s">
        <v>10</v>
      </c>
      <c r="D105" t="s">
        <v>16</v>
      </c>
      <c r="E105" t="str">
        <f>tblData[[#This Row],[Company]]&amp;"|"&amp;tblData[[#This Row],[Line item as reported]]</f>
        <v>Loblaw|Income taxes</v>
      </c>
      <c r="F105" t="str">
        <f>_xlfn.XLOOKUP(tblData[[#This Row],[Map key]],tblMap[Map key],tblMap[Standard line item],"UNMAPPED")</f>
        <v>Income taxes</v>
      </c>
      <c r="G105" s="9">
        <v>1080</v>
      </c>
      <c r="H105" t="s">
        <v>114</v>
      </c>
      <c r="I105">
        <v>102</v>
      </c>
    </row>
    <row r="106" spans="1:9" x14ac:dyDescent="0.35">
      <c r="A106" t="s">
        <v>8</v>
      </c>
      <c r="B106">
        <v>2025</v>
      </c>
      <c r="C106" t="s">
        <v>10</v>
      </c>
      <c r="D106" t="s">
        <v>18</v>
      </c>
      <c r="E106" t="str">
        <f>tblData[[#This Row],[Company]]&amp;"|"&amp;tblData[[#This Row],[Line item as reported]]</f>
        <v>Loblaw|Net earnings from discontinued operations</v>
      </c>
      <c r="F106" t="str">
        <f>_xlfn.XLOOKUP(tblData[[#This Row],[Map key]],tblMap[Map key],tblMap[Standard line item],"UNMAPPED")</f>
        <v>Net earnings from discontinued operations</v>
      </c>
      <c r="G106" s="9">
        <v>136</v>
      </c>
      <c r="H106" t="s">
        <v>114</v>
      </c>
      <c r="I106">
        <v>102</v>
      </c>
    </row>
    <row r="107" spans="1:9" x14ac:dyDescent="0.35">
      <c r="A107" t="s">
        <v>8</v>
      </c>
      <c r="B107">
        <v>2025</v>
      </c>
      <c r="C107" t="s">
        <v>10</v>
      </c>
      <c r="D107" t="s">
        <v>20</v>
      </c>
      <c r="E107" t="str">
        <f>tblData[[#This Row],[Company]]&amp;"|"&amp;tblData[[#This Row],[Line item as reported]]</f>
        <v>Loblaw|Net earnings</v>
      </c>
      <c r="F107" t="str">
        <f>_xlfn.XLOOKUP(tblData[[#This Row],[Map key]],tblMap[Map key],tblMap[Standard line item],"UNMAPPED")</f>
        <v>Net earnings</v>
      </c>
      <c r="G107" s="9">
        <v>2738</v>
      </c>
      <c r="H107" t="s">
        <v>114</v>
      </c>
      <c r="I107">
        <v>102</v>
      </c>
    </row>
    <row r="108" spans="1:9" x14ac:dyDescent="0.35">
      <c r="A108" t="s">
        <v>8</v>
      </c>
      <c r="B108">
        <v>2025</v>
      </c>
      <c r="C108" t="s">
        <v>10</v>
      </c>
      <c r="D108" t="s">
        <v>21</v>
      </c>
      <c r="E108" t="str">
        <f>tblData[[#This Row],[Company]]&amp;"|"&amp;tblData[[#This Row],[Line item as reported]]</f>
        <v>Loblaw|Shareholders of the Company</v>
      </c>
      <c r="F108" t="str">
        <f>_xlfn.XLOOKUP(tblData[[#This Row],[Map key]],tblMap[Map key],tblMap[Standard line item],"UNMAPPED")</f>
        <v>Net earnings attributable to shareholders</v>
      </c>
      <c r="G108" s="9">
        <v>2667</v>
      </c>
      <c r="H108" t="s">
        <v>114</v>
      </c>
      <c r="I108">
        <v>102</v>
      </c>
    </row>
    <row r="109" spans="1:9" x14ac:dyDescent="0.35">
      <c r="A109" t="s">
        <v>8</v>
      </c>
      <c r="B109">
        <v>2025</v>
      </c>
      <c r="C109" t="s">
        <v>24</v>
      </c>
      <c r="D109" t="s">
        <v>23</v>
      </c>
      <c r="E109" t="str">
        <f>tblData[[#This Row],[Company]]&amp;"|"&amp;tblData[[#This Row],[Line item as reported]]</f>
        <v>Loblaw|Inventories</v>
      </c>
      <c r="F109" t="str">
        <f>_xlfn.XLOOKUP(tblData[[#This Row],[Map key]],tblMap[Map key],tblMap[Standard line item],"UNMAPPED")</f>
        <v>Inventories</v>
      </c>
      <c r="G109" s="9">
        <v>6491</v>
      </c>
      <c r="H109" t="s">
        <v>114</v>
      </c>
      <c r="I109">
        <v>105</v>
      </c>
    </row>
    <row r="110" spans="1:9" x14ac:dyDescent="0.35">
      <c r="A110" t="s">
        <v>8</v>
      </c>
      <c r="B110">
        <v>2025</v>
      </c>
      <c r="C110" t="s">
        <v>24</v>
      </c>
      <c r="D110" t="s">
        <v>25</v>
      </c>
      <c r="E110" t="str">
        <f>tblData[[#This Row],[Company]]&amp;"|"&amp;tblData[[#This Row],[Line item as reported]]</f>
        <v>Loblaw|Total current assets</v>
      </c>
      <c r="F110" t="str">
        <f>_xlfn.XLOOKUP(tblData[[#This Row],[Map key]],tblMap[Map key],tblMap[Standard line item],"UNMAPPED")</f>
        <v>Total current assets</v>
      </c>
      <c r="G110" s="9">
        <v>14928</v>
      </c>
      <c r="H110" t="s">
        <v>114</v>
      </c>
      <c r="I110">
        <v>105</v>
      </c>
    </row>
    <row r="111" spans="1:9" x14ac:dyDescent="0.35">
      <c r="A111" t="s">
        <v>8</v>
      </c>
      <c r="B111">
        <v>2025</v>
      </c>
      <c r="C111" t="s">
        <v>24</v>
      </c>
      <c r="D111" t="s">
        <v>26</v>
      </c>
      <c r="E111" t="str">
        <f>tblData[[#This Row],[Company]]&amp;"|"&amp;tblData[[#This Row],[Line item as reported]]</f>
        <v>Loblaw|Total assets</v>
      </c>
      <c r="F111" t="str">
        <f>_xlfn.XLOOKUP(tblData[[#This Row],[Map key]],tblMap[Map key],tblMap[Standard line item],"UNMAPPED")</f>
        <v>Total assets</v>
      </c>
      <c r="G111" s="9">
        <v>41577</v>
      </c>
      <c r="H111" t="s">
        <v>114</v>
      </c>
      <c r="I111">
        <v>105</v>
      </c>
    </row>
    <row r="112" spans="1:9" x14ac:dyDescent="0.35">
      <c r="A112" t="s">
        <v>8</v>
      </c>
      <c r="B112">
        <v>2025</v>
      </c>
      <c r="C112" t="s">
        <v>24</v>
      </c>
      <c r="D112" t="s">
        <v>27</v>
      </c>
      <c r="E112" t="str">
        <f>tblData[[#This Row],[Company]]&amp;"|"&amp;tblData[[#This Row],[Line item as reported]]</f>
        <v>Loblaw|Total current liabilities</v>
      </c>
      <c r="F112" t="str">
        <f>_xlfn.XLOOKUP(tblData[[#This Row],[Map key]],tblMap[Map key],tblMap[Standard line item],"UNMAPPED")</f>
        <v>Total current liabilities</v>
      </c>
      <c r="G112" s="9">
        <v>13870</v>
      </c>
      <c r="H112" t="s">
        <v>114</v>
      </c>
      <c r="I112">
        <v>105</v>
      </c>
    </row>
    <row r="113" spans="1:9" x14ac:dyDescent="0.35">
      <c r="A113" t="s">
        <v>8</v>
      </c>
      <c r="B113">
        <v>2025</v>
      </c>
      <c r="C113" t="s">
        <v>24</v>
      </c>
      <c r="D113" t="s">
        <v>28</v>
      </c>
      <c r="E113" t="str">
        <f>tblData[[#This Row],[Company]]&amp;"|"&amp;tblData[[#This Row],[Line item as reported]]</f>
        <v>Loblaw|Total liabilities</v>
      </c>
      <c r="F113" t="str">
        <f>_xlfn.XLOOKUP(tblData[[#This Row],[Map key]],tblMap[Map key],tblMap[Standard line item],"UNMAPPED")</f>
        <v>Total liabilities</v>
      </c>
      <c r="G113" s="9">
        <v>30385</v>
      </c>
      <c r="H113" t="s">
        <v>114</v>
      </c>
      <c r="I113">
        <v>105</v>
      </c>
    </row>
    <row r="114" spans="1:9" x14ac:dyDescent="0.35">
      <c r="A114" t="s">
        <v>8</v>
      </c>
      <c r="B114">
        <v>2025</v>
      </c>
      <c r="C114" t="s">
        <v>24</v>
      </c>
      <c r="D114" t="s">
        <v>29</v>
      </c>
      <c r="E114" t="str">
        <f>tblData[[#This Row],[Company]]&amp;"|"&amp;tblData[[#This Row],[Line item as reported]]</f>
        <v>Loblaw|Total equity</v>
      </c>
      <c r="F114" t="str">
        <f>_xlfn.XLOOKUP(tblData[[#This Row],[Map key]],tblMap[Map key],tblMap[Standard line item],"UNMAPPED")</f>
        <v>Total equity</v>
      </c>
      <c r="G114" s="9">
        <v>11192</v>
      </c>
      <c r="H114" t="s">
        <v>114</v>
      </c>
      <c r="I114">
        <v>105</v>
      </c>
    </row>
    <row r="115" spans="1:9" x14ac:dyDescent="0.35">
      <c r="A115" t="s">
        <v>8</v>
      </c>
      <c r="B115">
        <v>2025</v>
      </c>
      <c r="C115" t="s">
        <v>24</v>
      </c>
      <c r="D115" t="s">
        <v>30</v>
      </c>
      <c r="E115" t="str">
        <f>tblData[[#This Row],[Company]]&amp;"|"&amp;tblData[[#This Row],[Line item as reported]]</f>
        <v>Loblaw|Total equity attributable to shareholders of the Company</v>
      </c>
      <c r="F115" t="str">
        <f>_xlfn.XLOOKUP(tblData[[#This Row],[Map key]],tblMap[Map key],tblMap[Standard line item],"UNMAPPED")</f>
        <v>Equity attributable to shareholders</v>
      </c>
      <c r="G115" s="9">
        <v>11028</v>
      </c>
      <c r="H115" t="s">
        <v>114</v>
      </c>
      <c r="I115">
        <v>105</v>
      </c>
    </row>
    <row r="116" spans="1:9" x14ac:dyDescent="0.35">
      <c r="A116" t="s">
        <v>8</v>
      </c>
      <c r="B116">
        <v>2025</v>
      </c>
      <c r="C116" t="s">
        <v>34</v>
      </c>
      <c r="D116" t="s">
        <v>32</v>
      </c>
      <c r="E116" t="str">
        <f>tblData[[#This Row],[Company]]&amp;"|"&amp;tblData[[#This Row],[Line item as reported]]</f>
        <v>Loblaw|Cash flows from operating activities</v>
      </c>
      <c r="F116" t="str">
        <f>_xlfn.XLOOKUP(tblData[[#This Row],[Map key]],tblMap[Map key],tblMap[Standard line item],"UNMAPPED")</f>
        <v>Cash from operating activities</v>
      </c>
      <c r="G116" s="9">
        <v>6264</v>
      </c>
      <c r="H116" t="s">
        <v>114</v>
      </c>
      <c r="I116">
        <v>106</v>
      </c>
    </row>
    <row r="117" spans="1:9" x14ac:dyDescent="0.35">
      <c r="A117" t="s">
        <v>8</v>
      </c>
      <c r="B117">
        <v>2025</v>
      </c>
      <c r="C117" t="s">
        <v>34</v>
      </c>
      <c r="D117" t="s">
        <v>35</v>
      </c>
      <c r="E117" t="str">
        <f>tblData[[#This Row],[Company]]&amp;"|"&amp;tblData[[#This Row],[Line item as reported]]</f>
        <v>Loblaw|Fixed asset purchases</v>
      </c>
      <c r="F117" t="str">
        <f>_xlfn.XLOOKUP(tblData[[#This Row],[Map key]],tblMap[Map key],tblMap[Standard line item],"UNMAPPED")</f>
        <v>Purchases of fixed assets</v>
      </c>
      <c r="G117" s="9">
        <v>1712</v>
      </c>
      <c r="H117" t="s">
        <v>114</v>
      </c>
      <c r="I117">
        <v>106</v>
      </c>
    </row>
    <row r="118" spans="1:9" x14ac:dyDescent="0.35">
      <c r="A118" t="s">
        <v>8</v>
      </c>
      <c r="B118">
        <v>2025</v>
      </c>
      <c r="C118" t="s">
        <v>34</v>
      </c>
      <c r="D118" t="s">
        <v>37</v>
      </c>
      <c r="E118" t="str">
        <f>tblData[[#This Row],[Company]]&amp;"|"&amp;tblData[[#This Row],[Line item as reported]]</f>
        <v>Loblaw|Intangible asset additions</v>
      </c>
      <c r="F118" t="str">
        <f>_xlfn.XLOOKUP(tblData[[#This Row],[Map key]],tblMap[Map key],tblMap[Standard line item],"UNMAPPED")</f>
        <v>Purchases of intangible assets</v>
      </c>
      <c r="G118" s="9">
        <v>350</v>
      </c>
      <c r="H118" t="s">
        <v>114</v>
      </c>
      <c r="I118">
        <v>106</v>
      </c>
    </row>
    <row r="119" spans="1:9" x14ac:dyDescent="0.35">
      <c r="A119" t="s">
        <v>8</v>
      </c>
      <c r="B119">
        <v>2025</v>
      </c>
      <c r="C119" t="s">
        <v>34</v>
      </c>
      <c r="D119" t="s">
        <v>39</v>
      </c>
      <c r="E119" t="str">
        <f>tblData[[#This Row],[Company]]&amp;"|"&amp;tblData[[#This Row],[Line item as reported]]</f>
        <v>Loblaw|Cash rent paid on lease liabilities - Principal</v>
      </c>
      <c r="F119" t="str">
        <f>_xlfn.XLOOKUP(tblData[[#This Row],[Map key]],tblMap[Map key],tblMap[Standard line item],"UNMAPPED")</f>
        <v>Lease principal payments</v>
      </c>
      <c r="G119" s="9">
        <v>1255</v>
      </c>
      <c r="H119" t="s">
        <v>114</v>
      </c>
      <c r="I119">
        <v>106</v>
      </c>
    </row>
    <row r="120" spans="1:9" x14ac:dyDescent="0.35">
      <c r="A120" t="s">
        <v>42</v>
      </c>
      <c r="B120">
        <v>2020</v>
      </c>
      <c r="C120" t="s">
        <v>10</v>
      </c>
      <c r="D120" t="s">
        <v>43</v>
      </c>
      <c r="E120" t="str">
        <f>tblData[[#This Row],[Company]]&amp;"|"&amp;tblData[[#This Row],[Line item as reported]]</f>
        <v>Metro|Sales</v>
      </c>
      <c r="F120" t="str">
        <f>_xlfn.XLOOKUP(tblData[[#This Row],[Map key]],tblMap[Map key],tblMap[Standard line item],"UNMAPPED")</f>
        <v>Revenue</v>
      </c>
      <c r="G120" s="9">
        <v>17997.5</v>
      </c>
      <c r="H120" t="s">
        <v>115</v>
      </c>
      <c r="I120">
        <v>43</v>
      </c>
    </row>
    <row r="121" spans="1:9" x14ac:dyDescent="0.35">
      <c r="A121" t="s">
        <v>42</v>
      </c>
      <c r="B121">
        <v>2020</v>
      </c>
      <c r="C121" t="s">
        <v>10</v>
      </c>
      <c r="D121" t="s">
        <v>44</v>
      </c>
      <c r="E121" t="str">
        <f>tblData[[#This Row],[Company]]&amp;"|"&amp;tblData[[#This Row],[Line item as reported]]</f>
        <v>Metro|Cost of sales (note 4)</v>
      </c>
      <c r="F121" t="str">
        <f>_xlfn.XLOOKUP(tblData[[#This Row],[Map key]],tblMap[Map key],tblMap[Standard line item],"UNMAPPED")</f>
        <v>Cost of sales</v>
      </c>
      <c r="G121" s="9">
        <v>14415.7</v>
      </c>
      <c r="H121" t="s">
        <v>115</v>
      </c>
      <c r="I121">
        <v>56</v>
      </c>
    </row>
    <row r="122" spans="1:9" x14ac:dyDescent="0.35">
      <c r="A122" t="s">
        <v>42</v>
      </c>
      <c r="B122">
        <v>2020</v>
      </c>
      <c r="C122" t="s">
        <v>10</v>
      </c>
      <c r="D122" t="s">
        <v>46</v>
      </c>
      <c r="E122" t="str">
        <f>tblData[[#This Row],[Company]]&amp;"|"&amp;tblData[[#This Row],[Line item as reported]]</f>
        <v>Metro|Financial costs, net</v>
      </c>
      <c r="F122" t="str">
        <f>_xlfn.XLOOKUP(tblData[[#This Row],[Map key]],tblMap[Map key],tblMap[Standard line item],"UNMAPPED")</f>
        <v>Net finance costs</v>
      </c>
      <c r="G122" s="9">
        <v>136.80000000000001</v>
      </c>
      <c r="H122" t="s">
        <v>115</v>
      </c>
      <c r="I122">
        <v>43</v>
      </c>
    </row>
    <row r="123" spans="1:9" x14ac:dyDescent="0.35">
      <c r="A123" t="s">
        <v>42</v>
      </c>
      <c r="B123">
        <v>2020</v>
      </c>
      <c r="C123" t="s">
        <v>10</v>
      </c>
      <c r="D123" t="s">
        <v>15</v>
      </c>
      <c r="E123" t="str">
        <f>tblData[[#This Row],[Company]]&amp;"|"&amp;tblData[[#This Row],[Line item as reported]]</f>
        <v>Metro|Earnings before income taxes</v>
      </c>
      <c r="F123" t="str">
        <f>_xlfn.XLOOKUP(tblData[[#This Row],[Map key]],tblMap[Map key],tblMap[Standard line item],"UNMAPPED")</f>
        <v>Earnings before income taxes</v>
      </c>
      <c r="G123" s="9">
        <v>1084.3</v>
      </c>
      <c r="H123" t="s">
        <v>115</v>
      </c>
      <c r="I123">
        <v>43</v>
      </c>
    </row>
    <row r="124" spans="1:9" x14ac:dyDescent="0.35">
      <c r="A124" t="s">
        <v>42</v>
      </c>
      <c r="B124">
        <v>2020</v>
      </c>
      <c r="C124" t="s">
        <v>10</v>
      </c>
      <c r="D124" t="s">
        <v>16</v>
      </c>
      <c r="E124" t="str">
        <f>tblData[[#This Row],[Company]]&amp;"|"&amp;tblData[[#This Row],[Line item as reported]]</f>
        <v>Metro|Income taxes</v>
      </c>
      <c r="F124" t="str">
        <f>_xlfn.XLOOKUP(tblData[[#This Row],[Map key]],tblMap[Map key],tblMap[Standard line item],"UNMAPPED")</f>
        <v>Income taxes</v>
      </c>
      <c r="G124" s="9">
        <v>287.89999999999998</v>
      </c>
      <c r="H124" t="s">
        <v>115</v>
      </c>
      <c r="I124">
        <v>43</v>
      </c>
    </row>
    <row r="125" spans="1:9" x14ac:dyDescent="0.35">
      <c r="A125" t="s">
        <v>42</v>
      </c>
      <c r="B125">
        <v>2020</v>
      </c>
      <c r="C125" t="s">
        <v>10</v>
      </c>
      <c r="D125" t="s">
        <v>17</v>
      </c>
      <c r="E125" t="str">
        <f>tblData[[#This Row],[Company]]&amp;"|"&amp;tblData[[#This Row],[Line item as reported]]</f>
        <v>Metro|No discontinued operations</v>
      </c>
      <c r="F125" t="str">
        <f>_xlfn.XLOOKUP(tblData[[#This Row],[Map key]],tblMap[Map key],tblMap[Standard line item],"UNMAPPED")</f>
        <v>Net earnings from discontinued operations</v>
      </c>
      <c r="G125" s="9">
        <v>0</v>
      </c>
      <c r="H125" t="s">
        <v>115</v>
      </c>
      <c r="I125">
        <v>43</v>
      </c>
    </row>
    <row r="126" spans="1:9" x14ac:dyDescent="0.35">
      <c r="A126" t="s">
        <v>42</v>
      </c>
      <c r="B126">
        <v>2020</v>
      </c>
      <c r="C126" t="s">
        <v>10</v>
      </c>
      <c r="D126" t="s">
        <v>20</v>
      </c>
      <c r="E126" t="str">
        <f>tblData[[#This Row],[Company]]&amp;"|"&amp;tblData[[#This Row],[Line item as reported]]</f>
        <v>Metro|Net earnings</v>
      </c>
      <c r="F126" t="str">
        <f>_xlfn.XLOOKUP(tblData[[#This Row],[Map key]],tblMap[Map key],tblMap[Standard line item],"UNMAPPED")</f>
        <v>Net earnings</v>
      </c>
      <c r="G126" s="9">
        <v>796.4</v>
      </c>
      <c r="H126" t="s">
        <v>115</v>
      </c>
      <c r="I126">
        <v>43</v>
      </c>
    </row>
    <row r="127" spans="1:9" x14ac:dyDescent="0.35">
      <c r="A127" t="s">
        <v>42</v>
      </c>
      <c r="B127">
        <v>2020</v>
      </c>
      <c r="C127" t="s">
        <v>10</v>
      </c>
      <c r="D127" t="s">
        <v>47</v>
      </c>
      <c r="E127" t="str">
        <f>tblData[[#This Row],[Company]]&amp;"|"&amp;tblData[[#This Row],[Line item as reported]]</f>
        <v>Metro|Equity holders of the parent</v>
      </c>
      <c r="F127" t="str">
        <f>_xlfn.XLOOKUP(tblData[[#This Row],[Map key]],tblMap[Map key],tblMap[Standard line item],"UNMAPPED")</f>
        <v>Net earnings attributable to shareholders</v>
      </c>
      <c r="G127" s="9">
        <v>795.2</v>
      </c>
      <c r="H127" t="s">
        <v>115</v>
      </c>
      <c r="I127">
        <v>43</v>
      </c>
    </row>
    <row r="128" spans="1:9" x14ac:dyDescent="0.35">
      <c r="A128" t="s">
        <v>42</v>
      </c>
      <c r="B128">
        <v>2020</v>
      </c>
      <c r="C128" t="s">
        <v>24</v>
      </c>
      <c r="D128" t="s">
        <v>23</v>
      </c>
      <c r="E128" t="str">
        <f>tblData[[#This Row],[Company]]&amp;"|"&amp;tblData[[#This Row],[Line item as reported]]</f>
        <v>Metro|Inventories</v>
      </c>
      <c r="F128" t="str">
        <f>_xlfn.XLOOKUP(tblData[[#This Row],[Map key]],tblMap[Map key],tblMap[Standard line item],"UNMAPPED")</f>
        <v>Inventories</v>
      </c>
      <c r="G128" s="9">
        <v>1268.2</v>
      </c>
      <c r="H128" t="s">
        <v>115</v>
      </c>
      <c r="I128">
        <v>45</v>
      </c>
    </row>
    <row r="129" spans="1:9" x14ac:dyDescent="0.35">
      <c r="A129" t="s">
        <v>42</v>
      </c>
      <c r="B129">
        <v>2020</v>
      </c>
      <c r="C129" t="s">
        <v>24</v>
      </c>
      <c r="D129" t="s">
        <v>48</v>
      </c>
      <c r="E129" t="str">
        <f>tblData[[#This Row],[Company]]&amp;"|"&amp;tblData[[#This Row],[Line item as reported]]</f>
        <v>Metro|Current assets (unlabelled subtotal)</v>
      </c>
      <c r="F129" t="str">
        <f>_xlfn.XLOOKUP(tblData[[#This Row],[Map key]],tblMap[Map key],tblMap[Standard line item],"UNMAPPED")</f>
        <v>Total current assets</v>
      </c>
      <c r="G129" s="9">
        <v>2500.5</v>
      </c>
      <c r="H129" t="s">
        <v>115</v>
      </c>
      <c r="I129">
        <v>45</v>
      </c>
    </row>
    <row r="130" spans="1:9" x14ac:dyDescent="0.35">
      <c r="A130" t="s">
        <v>42</v>
      </c>
      <c r="B130">
        <v>2020</v>
      </c>
      <c r="C130" t="s">
        <v>24</v>
      </c>
      <c r="D130" t="s">
        <v>49</v>
      </c>
      <c r="E130" t="str">
        <f>tblData[[#This Row],[Company]]&amp;"|"&amp;tblData[[#This Row],[Line item as reported]]</f>
        <v>Metro|Total assets (unlabelled subtotal)</v>
      </c>
      <c r="F130" t="str">
        <f>_xlfn.XLOOKUP(tblData[[#This Row],[Map key]],tblMap[Map key],tblMap[Standard line item],"UNMAPPED")</f>
        <v>Total assets</v>
      </c>
      <c r="G130" s="9">
        <v>13423.9</v>
      </c>
      <c r="H130" t="s">
        <v>115</v>
      </c>
      <c r="I130">
        <v>45</v>
      </c>
    </row>
    <row r="131" spans="1:9" x14ac:dyDescent="0.35">
      <c r="A131" t="s">
        <v>42</v>
      </c>
      <c r="B131">
        <v>2020</v>
      </c>
      <c r="C131" t="s">
        <v>24</v>
      </c>
      <c r="D131" t="s">
        <v>50</v>
      </c>
      <c r="E131" t="str">
        <f>tblData[[#This Row],[Company]]&amp;"|"&amp;tblData[[#This Row],[Line item as reported]]</f>
        <v>Metro|Current liabilities (unlabelled subtotal)</v>
      </c>
      <c r="F131" t="str">
        <f>_xlfn.XLOOKUP(tblData[[#This Row],[Map key]],tblMap[Map key],tblMap[Standard line item],"UNMAPPED")</f>
        <v>Total current liabilities</v>
      </c>
      <c r="G131" s="9">
        <v>1860.1</v>
      </c>
      <c r="H131" t="s">
        <v>115</v>
      </c>
      <c r="I131">
        <v>45</v>
      </c>
    </row>
    <row r="132" spans="1:9" x14ac:dyDescent="0.35">
      <c r="A132" t="s">
        <v>42</v>
      </c>
      <c r="B132">
        <v>2020</v>
      </c>
      <c r="C132" t="s">
        <v>24</v>
      </c>
      <c r="D132" t="s">
        <v>51</v>
      </c>
      <c r="E132" t="str">
        <f>tblData[[#This Row],[Company]]&amp;"|"&amp;tblData[[#This Row],[Line item as reported]]</f>
        <v>Metro|Total liabilities (unlabelled subtotal)</v>
      </c>
      <c r="F132" t="str">
        <f>_xlfn.XLOOKUP(tblData[[#This Row],[Map key]],tblMap[Map key],tblMap[Standard line item],"UNMAPPED")</f>
        <v>Total liabilities</v>
      </c>
      <c r="G132" s="9">
        <v>7268.5</v>
      </c>
      <c r="H132" t="s">
        <v>115</v>
      </c>
      <c r="I132">
        <v>45</v>
      </c>
    </row>
    <row r="133" spans="1:9" x14ac:dyDescent="0.35">
      <c r="A133" t="s">
        <v>42</v>
      </c>
      <c r="B133">
        <v>2020</v>
      </c>
      <c r="C133" t="s">
        <v>24</v>
      </c>
      <c r="D133" t="s">
        <v>52</v>
      </c>
      <c r="E133" t="str">
        <f>tblData[[#This Row],[Company]]&amp;"|"&amp;tblData[[#This Row],[Line item as reported]]</f>
        <v>Metro|Total equity (unlabelled subtotal)</v>
      </c>
      <c r="F133" t="str">
        <f>_xlfn.XLOOKUP(tblData[[#This Row],[Map key]],tblMap[Map key],tblMap[Standard line item],"UNMAPPED")</f>
        <v>Total equity</v>
      </c>
      <c r="G133" s="9">
        <v>6155.4</v>
      </c>
      <c r="H133" t="s">
        <v>115</v>
      </c>
      <c r="I133">
        <v>45</v>
      </c>
    </row>
    <row r="134" spans="1:9" x14ac:dyDescent="0.35">
      <c r="A134" t="s">
        <v>42</v>
      </c>
      <c r="B134">
        <v>2020</v>
      </c>
      <c r="C134" t="s">
        <v>24</v>
      </c>
      <c r="D134" t="s">
        <v>53</v>
      </c>
      <c r="E134" t="str">
        <f>tblData[[#This Row],[Company]]&amp;"|"&amp;tblData[[#This Row],[Line item as reported]]</f>
        <v>Metro|Attributable to equity holders of the parent</v>
      </c>
      <c r="F134" t="str">
        <f>_xlfn.XLOOKUP(tblData[[#This Row],[Map key]],tblMap[Map key],tblMap[Standard line item],"UNMAPPED")</f>
        <v>Equity attributable to shareholders</v>
      </c>
      <c r="G134" s="9">
        <v>6142.2</v>
      </c>
      <c r="H134" t="s">
        <v>115</v>
      </c>
      <c r="I134">
        <v>45</v>
      </c>
    </row>
    <row r="135" spans="1:9" x14ac:dyDescent="0.35">
      <c r="A135" t="s">
        <v>42</v>
      </c>
      <c r="B135">
        <v>2020</v>
      </c>
      <c r="C135" t="s">
        <v>34</v>
      </c>
      <c r="D135" t="s">
        <v>54</v>
      </c>
      <c r="E135" t="str">
        <f>tblData[[#This Row],[Company]]&amp;"|"&amp;tblData[[#This Row],[Line item as reported]]</f>
        <v>Metro|Operating activities (unlabelled subtotal)</v>
      </c>
      <c r="F135" t="str">
        <f>_xlfn.XLOOKUP(tblData[[#This Row],[Map key]],tblMap[Map key],tblMap[Standard line item],"UNMAPPED")</f>
        <v>Cash from operating activities</v>
      </c>
      <c r="G135" s="9">
        <v>1474.1</v>
      </c>
      <c r="H135" t="s">
        <v>115</v>
      </c>
      <c r="I135">
        <v>47</v>
      </c>
    </row>
    <row r="136" spans="1:9" x14ac:dyDescent="0.35">
      <c r="A136" t="s">
        <v>42</v>
      </c>
      <c r="B136">
        <v>2020</v>
      </c>
      <c r="C136" t="s">
        <v>34</v>
      </c>
      <c r="D136" t="s">
        <v>55</v>
      </c>
      <c r="E136" t="str">
        <f>tblData[[#This Row],[Company]]&amp;"|"&amp;tblData[[#This Row],[Line item as reported]]</f>
        <v>Metro|Additions to fixed assets and investment properties</v>
      </c>
      <c r="F136" t="str">
        <f>_xlfn.XLOOKUP(tblData[[#This Row],[Map key]],tblMap[Map key],tblMap[Standard line item],"UNMAPPED")</f>
        <v>Purchases of fixed assets</v>
      </c>
      <c r="G136" s="9">
        <v>463.3</v>
      </c>
      <c r="H136" t="s">
        <v>115</v>
      </c>
      <c r="I136">
        <v>47</v>
      </c>
    </row>
    <row r="137" spans="1:9" x14ac:dyDescent="0.35">
      <c r="A137" t="s">
        <v>42</v>
      </c>
      <c r="B137">
        <v>2020</v>
      </c>
      <c r="C137" t="s">
        <v>34</v>
      </c>
      <c r="D137" t="s">
        <v>56</v>
      </c>
      <c r="E137" t="str">
        <f>tblData[[#This Row],[Company]]&amp;"|"&amp;tblData[[#This Row],[Line item as reported]]</f>
        <v>Metro|Additions to intangible assets</v>
      </c>
      <c r="F137" t="str">
        <f>_xlfn.XLOOKUP(tblData[[#This Row],[Map key]],tblMap[Map key],tblMap[Standard line item],"UNMAPPED")</f>
        <v>Purchases of intangible assets</v>
      </c>
      <c r="G137" s="9">
        <v>47.4</v>
      </c>
      <c r="H137" t="s">
        <v>115</v>
      </c>
      <c r="I137">
        <v>47</v>
      </c>
    </row>
    <row r="138" spans="1:9" x14ac:dyDescent="0.35">
      <c r="A138" t="s">
        <v>42</v>
      </c>
      <c r="B138">
        <v>2020</v>
      </c>
      <c r="C138" t="s">
        <v>34</v>
      </c>
      <c r="D138" t="s">
        <v>57</v>
      </c>
      <c r="E138" t="str">
        <f>tblData[[#This Row],[Company]]&amp;"|"&amp;tblData[[#This Row],[Line item as reported]]</f>
        <v>Metro|Payment of lease liabilities (principal)</v>
      </c>
      <c r="F138" t="str">
        <f>_xlfn.XLOOKUP(tblData[[#This Row],[Map key]],tblMap[Map key],tblMap[Standard line item],"UNMAPPED")</f>
        <v>Lease principal payments</v>
      </c>
      <c r="G138" s="9">
        <v>252.9</v>
      </c>
      <c r="H138" t="s">
        <v>115</v>
      </c>
      <c r="I138">
        <v>47</v>
      </c>
    </row>
    <row r="139" spans="1:9" x14ac:dyDescent="0.35">
      <c r="A139" t="s">
        <v>42</v>
      </c>
      <c r="B139">
        <v>2021</v>
      </c>
      <c r="C139" t="s">
        <v>10</v>
      </c>
      <c r="D139" t="s">
        <v>43</v>
      </c>
      <c r="E139" t="str">
        <f>tblData[[#This Row],[Company]]&amp;"|"&amp;tblData[[#This Row],[Line item as reported]]</f>
        <v>Metro|Sales</v>
      </c>
      <c r="F139" t="str">
        <f>_xlfn.XLOOKUP(tblData[[#This Row],[Map key]],tblMap[Map key],tblMap[Standard line item],"UNMAPPED")</f>
        <v>Revenue</v>
      </c>
      <c r="G139" s="9">
        <v>18283</v>
      </c>
      <c r="H139" t="s">
        <v>115</v>
      </c>
      <c r="I139">
        <v>43</v>
      </c>
    </row>
    <row r="140" spans="1:9" x14ac:dyDescent="0.35">
      <c r="A140" t="s">
        <v>42</v>
      </c>
      <c r="B140">
        <v>2021</v>
      </c>
      <c r="C140" t="s">
        <v>10</v>
      </c>
      <c r="D140" t="s">
        <v>44</v>
      </c>
      <c r="E140" t="str">
        <f>tblData[[#This Row],[Company]]&amp;"|"&amp;tblData[[#This Row],[Line item as reported]]</f>
        <v>Metro|Cost of sales (note 4)</v>
      </c>
      <c r="F140" t="str">
        <f>_xlfn.XLOOKUP(tblData[[#This Row],[Map key]],tblMap[Map key],tblMap[Standard line item],"UNMAPPED")</f>
        <v>Cost of sales</v>
      </c>
      <c r="G140" s="9">
        <v>14628.2</v>
      </c>
      <c r="H140" t="s">
        <v>115</v>
      </c>
      <c r="I140">
        <v>56</v>
      </c>
    </row>
    <row r="141" spans="1:9" x14ac:dyDescent="0.35">
      <c r="A141" t="s">
        <v>42</v>
      </c>
      <c r="B141">
        <v>2021</v>
      </c>
      <c r="C141" t="s">
        <v>10</v>
      </c>
      <c r="D141" t="s">
        <v>46</v>
      </c>
      <c r="E141" t="str">
        <f>tblData[[#This Row],[Company]]&amp;"|"&amp;tblData[[#This Row],[Line item as reported]]</f>
        <v>Metro|Financial costs, net</v>
      </c>
      <c r="F141" t="str">
        <f>_xlfn.XLOOKUP(tblData[[#This Row],[Map key]],tblMap[Map key],tblMap[Standard line item],"UNMAPPED")</f>
        <v>Net finance costs</v>
      </c>
      <c r="G141" s="9">
        <v>133.5</v>
      </c>
      <c r="H141" t="s">
        <v>115</v>
      </c>
      <c r="I141">
        <v>43</v>
      </c>
    </row>
    <row r="142" spans="1:9" x14ac:dyDescent="0.35">
      <c r="A142" t="s">
        <v>42</v>
      </c>
      <c r="B142">
        <v>2021</v>
      </c>
      <c r="C142" t="s">
        <v>10</v>
      </c>
      <c r="D142" t="s">
        <v>15</v>
      </c>
      <c r="E142" t="str">
        <f>tblData[[#This Row],[Company]]&amp;"|"&amp;tblData[[#This Row],[Line item as reported]]</f>
        <v>Metro|Earnings before income taxes</v>
      </c>
      <c r="F142" t="str">
        <f>_xlfn.XLOOKUP(tblData[[#This Row],[Map key]],tblMap[Map key],tblMap[Standard line item],"UNMAPPED")</f>
        <v>Earnings before income taxes</v>
      </c>
      <c r="G142" s="9">
        <v>1120.7</v>
      </c>
      <c r="H142" t="s">
        <v>115</v>
      </c>
      <c r="I142">
        <v>43</v>
      </c>
    </row>
    <row r="143" spans="1:9" x14ac:dyDescent="0.35">
      <c r="A143" t="s">
        <v>42</v>
      </c>
      <c r="B143">
        <v>2021</v>
      </c>
      <c r="C143" t="s">
        <v>10</v>
      </c>
      <c r="D143" t="s">
        <v>16</v>
      </c>
      <c r="E143" t="str">
        <f>tblData[[#This Row],[Company]]&amp;"|"&amp;tblData[[#This Row],[Line item as reported]]</f>
        <v>Metro|Income taxes</v>
      </c>
      <c r="F143" t="str">
        <f>_xlfn.XLOOKUP(tblData[[#This Row],[Map key]],tblMap[Map key],tblMap[Standard line item],"UNMAPPED")</f>
        <v>Income taxes</v>
      </c>
      <c r="G143" s="9">
        <v>295</v>
      </c>
      <c r="H143" t="s">
        <v>115</v>
      </c>
      <c r="I143">
        <v>43</v>
      </c>
    </row>
    <row r="144" spans="1:9" x14ac:dyDescent="0.35">
      <c r="A144" t="s">
        <v>42</v>
      </c>
      <c r="B144">
        <v>2021</v>
      </c>
      <c r="C144" t="s">
        <v>10</v>
      </c>
      <c r="D144" t="s">
        <v>17</v>
      </c>
      <c r="E144" t="str">
        <f>tblData[[#This Row],[Company]]&amp;"|"&amp;tblData[[#This Row],[Line item as reported]]</f>
        <v>Metro|No discontinued operations</v>
      </c>
      <c r="F144" t="str">
        <f>_xlfn.XLOOKUP(tblData[[#This Row],[Map key]],tblMap[Map key],tblMap[Standard line item],"UNMAPPED")</f>
        <v>Net earnings from discontinued operations</v>
      </c>
      <c r="G144" s="9">
        <v>0</v>
      </c>
      <c r="H144" t="s">
        <v>115</v>
      </c>
      <c r="I144">
        <v>43</v>
      </c>
    </row>
    <row r="145" spans="1:9" x14ac:dyDescent="0.35">
      <c r="A145" t="s">
        <v>42</v>
      </c>
      <c r="B145">
        <v>2021</v>
      </c>
      <c r="C145" t="s">
        <v>10</v>
      </c>
      <c r="D145" t="s">
        <v>20</v>
      </c>
      <c r="E145" t="str">
        <f>tblData[[#This Row],[Company]]&amp;"|"&amp;tblData[[#This Row],[Line item as reported]]</f>
        <v>Metro|Net earnings</v>
      </c>
      <c r="F145" t="str">
        <f>_xlfn.XLOOKUP(tblData[[#This Row],[Map key]],tblMap[Map key],tblMap[Standard line item],"UNMAPPED")</f>
        <v>Net earnings</v>
      </c>
      <c r="G145" s="9">
        <v>825.7</v>
      </c>
      <c r="H145" t="s">
        <v>115</v>
      </c>
      <c r="I145">
        <v>43</v>
      </c>
    </row>
    <row r="146" spans="1:9" x14ac:dyDescent="0.35">
      <c r="A146" t="s">
        <v>42</v>
      </c>
      <c r="B146">
        <v>2021</v>
      </c>
      <c r="C146" t="s">
        <v>10</v>
      </c>
      <c r="D146" t="s">
        <v>47</v>
      </c>
      <c r="E146" t="str">
        <f>tblData[[#This Row],[Company]]&amp;"|"&amp;tblData[[#This Row],[Line item as reported]]</f>
        <v>Metro|Equity holders of the parent</v>
      </c>
      <c r="F146" t="str">
        <f>_xlfn.XLOOKUP(tblData[[#This Row],[Map key]],tblMap[Map key],tblMap[Standard line item],"UNMAPPED")</f>
        <v>Net earnings attributable to shareholders</v>
      </c>
      <c r="G146" s="9">
        <v>823</v>
      </c>
      <c r="H146" t="s">
        <v>115</v>
      </c>
      <c r="I146">
        <v>43</v>
      </c>
    </row>
    <row r="147" spans="1:9" x14ac:dyDescent="0.35">
      <c r="A147" t="s">
        <v>42</v>
      </c>
      <c r="B147">
        <v>2021</v>
      </c>
      <c r="C147" t="s">
        <v>24</v>
      </c>
      <c r="D147" t="s">
        <v>23</v>
      </c>
      <c r="E147" t="str">
        <f>tblData[[#This Row],[Company]]&amp;"|"&amp;tblData[[#This Row],[Line item as reported]]</f>
        <v>Metro|Inventories</v>
      </c>
      <c r="F147" t="str">
        <f>_xlfn.XLOOKUP(tblData[[#This Row],[Map key]],tblMap[Map key],tblMap[Standard line item],"UNMAPPED")</f>
        <v>Inventories</v>
      </c>
      <c r="G147" s="9">
        <v>1169</v>
      </c>
      <c r="H147" t="s">
        <v>115</v>
      </c>
      <c r="I147">
        <v>45</v>
      </c>
    </row>
    <row r="148" spans="1:9" x14ac:dyDescent="0.35">
      <c r="A148" t="s">
        <v>42</v>
      </c>
      <c r="B148">
        <v>2021</v>
      </c>
      <c r="C148" t="s">
        <v>24</v>
      </c>
      <c r="D148" t="s">
        <v>48</v>
      </c>
      <c r="E148" t="str">
        <f>tblData[[#This Row],[Company]]&amp;"|"&amp;tblData[[#This Row],[Line item as reported]]</f>
        <v>Metro|Current assets (unlabelled subtotal)</v>
      </c>
      <c r="F148" t="str">
        <f>_xlfn.XLOOKUP(tblData[[#This Row],[Map key]],tblMap[Map key],tblMap[Standard line item],"UNMAPPED")</f>
        <v>Total current assets</v>
      </c>
      <c r="G148" s="9">
        <v>2466.8000000000002</v>
      </c>
      <c r="H148" t="s">
        <v>115</v>
      </c>
      <c r="I148">
        <v>45</v>
      </c>
    </row>
    <row r="149" spans="1:9" x14ac:dyDescent="0.35">
      <c r="A149" t="s">
        <v>42</v>
      </c>
      <c r="B149">
        <v>2021</v>
      </c>
      <c r="C149" t="s">
        <v>24</v>
      </c>
      <c r="D149" t="s">
        <v>49</v>
      </c>
      <c r="E149" t="str">
        <f>tblData[[#This Row],[Company]]&amp;"|"&amp;tblData[[#This Row],[Line item as reported]]</f>
        <v>Metro|Total assets (unlabelled subtotal)</v>
      </c>
      <c r="F149" t="str">
        <f>_xlfn.XLOOKUP(tblData[[#This Row],[Map key]],tblMap[Map key],tblMap[Standard line item],"UNMAPPED")</f>
        <v>Total assets</v>
      </c>
      <c r="G149" s="9">
        <v>13592.1</v>
      </c>
      <c r="H149" t="s">
        <v>115</v>
      </c>
      <c r="I149">
        <v>45</v>
      </c>
    </row>
    <row r="150" spans="1:9" x14ac:dyDescent="0.35">
      <c r="A150" t="s">
        <v>42</v>
      </c>
      <c r="B150">
        <v>2021</v>
      </c>
      <c r="C150" t="s">
        <v>24</v>
      </c>
      <c r="D150" t="s">
        <v>50</v>
      </c>
      <c r="E150" t="str">
        <f>tblData[[#This Row],[Company]]&amp;"|"&amp;tblData[[#This Row],[Line item as reported]]</f>
        <v>Metro|Current liabilities (unlabelled subtotal)</v>
      </c>
      <c r="F150" t="str">
        <f>_xlfn.XLOOKUP(tblData[[#This Row],[Map key]],tblMap[Map key],tblMap[Standard line item],"UNMAPPED")</f>
        <v>Total current liabilities</v>
      </c>
      <c r="G150" s="9">
        <v>2198.1999999999998</v>
      </c>
      <c r="H150" t="s">
        <v>115</v>
      </c>
      <c r="I150">
        <v>45</v>
      </c>
    </row>
    <row r="151" spans="1:9" x14ac:dyDescent="0.35">
      <c r="A151" t="s">
        <v>42</v>
      </c>
      <c r="B151">
        <v>2021</v>
      </c>
      <c r="C151" t="s">
        <v>24</v>
      </c>
      <c r="D151" t="s">
        <v>51</v>
      </c>
      <c r="E151" t="str">
        <f>tblData[[#This Row],[Company]]&amp;"|"&amp;tblData[[#This Row],[Line item as reported]]</f>
        <v>Metro|Total liabilities (unlabelled subtotal)</v>
      </c>
      <c r="F151" t="str">
        <f>_xlfn.XLOOKUP(tblData[[#This Row],[Map key]],tblMap[Map key],tblMap[Standard line item],"UNMAPPED")</f>
        <v>Total liabilities</v>
      </c>
      <c r="G151" s="9">
        <v>7179.3</v>
      </c>
      <c r="H151" t="s">
        <v>115</v>
      </c>
      <c r="I151">
        <v>45</v>
      </c>
    </row>
    <row r="152" spans="1:9" x14ac:dyDescent="0.35">
      <c r="A152" t="s">
        <v>42</v>
      </c>
      <c r="B152">
        <v>2021</v>
      </c>
      <c r="C152" t="s">
        <v>24</v>
      </c>
      <c r="D152" t="s">
        <v>52</v>
      </c>
      <c r="E152" t="str">
        <f>tblData[[#This Row],[Company]]&amp;"|"&amp;tblData[[#This Row],[Line item as reported]]</f>
        <v>Metro|Total equity (unlabelled subtotal)</v>
      </c>
      <c r="F152" t="str">
        <f>_xlfn.XLOOKUP(tblData[[#This Row],[Map key]],tblMap[Map key],tblMap[Standard line item],"UNMAPPED")</f>
        <v>Total equity</v>
      </c>
      <c r="G152" s="9">
        <v>6412.8</v>
      </c>
      <c r="H152" t="s">
        <v>115</v>
      </c>
      <c r="I152">
        <v>45</v>
      </c>
    </row>
    <row r="153" spans="1:9" x14ac:dyDescent="0.35">
      <c r="A153" t="s">
        <v>42</v>
      </c>
      <c r="B153">
        <v>2021</v>
      </c>
      <c r="C153" t="s">
        <v>24</v>
      </c>
      <c r="D153" t="s">
        <v>53</v>
      </c>
      <c r="E153" t="str">
        <f>tblData[[#This Row],[Company]]&amp;"|"&amp;tblData[[#This Row],[Line item as reported]]</f>
        <v>Metro|Attributable to equity holders of the parent</v>
      </c>
      <c r="F153" t="str">
        <f>_xlfn.XLOOKUP(tblData[[#This Row],[Map key]],tblMap[Map key],tblMap[Standard line item],"UNMAPPED")</f>
        <v>Equity attributable to shareholders</v>
      </c>
      <c r="G153" s="9">
        <v>6399.9</v>
      </c>
      <c r="H153" t="s">
        <v>115</v>
      </c>
      <c r="I153">
        <v>45</v>
      </c>
    </row>
    <row r="154" spans="1:9" x14ac:dyDescent="0.35">
      <c r="A154" t="s">
        <v>42</v>
      </c>
      <c r="B154">
        <v>2021</v>
      </c>
      <c r="C154" t="s">
        <v>34</v>
      </c>
      <c r="D154" t="s">
        <v>54</v>
      </c>
      <c r="E154" t="str">
        <f>tblData[[#This Row],[Company]]&amp;"|"&amp;tblData[[#This Row],[Line item as reported]]</f>
        <v>Metro|Operating activities (unlabelled subtotal)</v>
      </c>
      <c r="F154" t="str">
        <f>_xlfn.XLOOKUP(tblData[[#This Row],[Map key]],tblMap[Map key],tblMap[Standard line item],"UNMAPPED")</f>
        <v>Cash from operating activities</v>
      </c>
      <c r="G154" s="9">
        <v>1583.3</v>
      </c>
      <c r="H154" t="s">
        <v>115</v>
      </c>
      <c r="I154">
        <v>47</v>
      </c>
    </row>
    <row r="155" spans="1:9" x14ac:dyDescent="0.35">
      <c r="A155" t="s">
        <v>42</v>
      </c>
      <c r="B155">
        <v>2021</v>
      </c>
      <c r="C155" t="s">
        <v>34</v>
      </c>
      <c r="D155" t="s">
        <v>55</v>
      </c>
      <c r="E155" t="str">
        <f>tblData[[#This Row],[Company]]&amp;"|"&amp;tblData[[#This Row],[Line item as reported]]</f>
        <v>Metro|Additions to fixed assets and investment properties</v>
      </c>
      <c r="F155" t="str">
        <f>_xlfn.XLOOKUP(tblData[[#This Row],[Map key]],tblMap[Map key],tblMap[Standard line item],"UNMAPPED")</f>
        <v>Purchases of fixed assets</v>
      </c>
      <c r="G155" s="9">
        <v>520</v>
      </c>
      <c r="H155" t="s">
        <v>115</v>
      </c>
      <c r="I155">
        <v>47</v>
      </c>
    </row>
    <row r="156" spans="1:9" x14ac:dyDescent="0.35">
      <c r="A156" t="s">
        <v>42</v>
      </c>
      <c r="B156">
        <v>2021</v>
      </c>
      <c r="C156" t="s">
        <v>34</v>
      </c>
      <c r="D156" t="s">
        <v>56</v>
      </c>
      <c r="E156" t="str">
        <f>tblData[[#This Row],[Company]]&amp;"|"&amp;tblData[[#This Row],[Line item as reported]]</f>
        <v>Metro|Additions to intangible assets</v>
      </c>
      <c r="F156" t="str">
        <f>_xlfn.XLOOKUP(tblData[[#This Row],[Map key]],tblMap[Map key],tblMap[Standard line item],"UNMAPPED")</f>
        <v>Purchases of intangible assets</v>
      </c>
      <c r="G156" s="9">
        <v>79.3</v>
      </c>
      <c r="H156" t="s">
        <v>115</v>
      </c>
      <c r="I156">
        <v>47</v>
      </c>
    </row>
    <row r="157" spans="1:9" x14ac:dyDescent="0.35">
      <c r="A157" t="s">
        <v>42</v>
      </c>
      <c r="B157">
        <v>2021</v>
      </c>
      <c r="C157" t="s">
        <v>34</v>
      </c>
      <c r="D157" t="s">
        <v>57</v>
      </c>
      <c r="E157" t="str">
        <f>tblData[[#This Row],[Company]]&amp;"|"&amp;tblData[[#This Row],[Line item as reported]]</f>
        <v>Metro|Payment of lease liabilities (principal)</v>
      </c>
      <c r="F157" t="str">
        <f>_xlfn.XLOOKUP(tblData[[#This Row],[Map key]],tblMap[Map key],tblMap[Standard line item],"UNMAPPED")</f>
        <v>Lease principal payments</v>
      </c>
      <c r="G157" s="9">
        <v>260.89999999999998</v>
      </c>
      <c r="H157" t="s">
        <v>115</v>
      </c>
      <c r="I157">
        <v>47</v>
      </c>
    </row>
    <row r="158" spans="1:9" x14ac:dyDescent="0.35">
      <c r="A158" t="s">
        <v>42</v>
      </c>
      <c r="B158">
        <v>2022</v>
      </c>
      <c r="C158" t="s">
        <v>10</v>
      </c>
      <c r="D158" t="s">
        <v>43</v>
      </c>
      <c r="E158" t="str">
        <f>tblData[[#This Row],[Company]]&amp;"|"&amp;tblData[[#This Row],[Line item as reported]]</f>
        <v>Metro|Sales</v>
      </c>
      <c r="F158" t="str">
        <f>_xlfn.XLOOKUP(tblData[[#This Row],[Map key]],tblMap[Map key],tblMap[Standard line item],"UNMAPPED")</f>
        <v>Revenue</v>
      </c>
      <c r="G158" s="9">
        <v>18888.900000000001</v>
      </c>
      <c r="H158" t="s">
        <v>116</v>
      </c>
      <c r="I158">
        <v>45</v>
      </c>
    </row>
    <row r="159" spans="1:9" x14ac:dyDescent="0.35">
      <c r="A159" t="s">
        <v>42</v>
      </c>
      <c r="B159">
        <v>2022</v>
      </c>
      <c r="C159" t="s">
        <v>10</v>
      </c>
      <c r="D159" t="s">
        <v>12</v>
      </c>
      <c r="E159" t="str">
        <f>tblData[[#This Row],[Company]]&amp;"|"&amp;tblData[[#This Row],[Line item as reported]]</f>
        <v>Metro|Cost of sales</v>
      </c>
      <c r="F159" t="str">
        <f>_xlfn.XLOOKUP(tblData[[#This Row],[Map key]],tblMap[Map key],tblMap[Standard line item],"UNMAPPED")</f>
        <v>Cost of sales</v>
      </c>
      <c r="G159" s="9">
        <v>15105.6</v>
      </c>
      <c r="H159" t="s">
        <v>116</v>
      </c>
      <c r="I159">
        <v>45</v>
      </c>
    </row>
    <row r="160" spans="1:9" x14ac:dyDescent="0.35">
      <c r="A160" t="s">
        <v>42</v>
      </c>
      <c r="B160">
        <v>2022</v>
      </c>
      <c r="C160" t="s">
        <v>10</v>
      </c>
      <c r="D160" t="s">
        <v>58</v>
      </c>
      <c r="E160" t="str">
        <f>tblData[[#This Row],[Company]]&amp;"|"&amp;tblData[[#This Row],[Line item as reported]]</f>
        <v>Metro|Net financial costs</v>
      </c>
      <c r="F160" t="str">
        <f>_xlfn.XLOOKUP(tblData[[#This Row],[Map key]],tblMap[Map key],tblMap[Standard line item],"UNMAPPED")</f>
        <v>Net finance costs</v>
      </c>
      <c r="G160" s="9">
        <v>117.6</v>
      </c>
      <c r="H160" t="s">
        <v>116</v>
      </c>
      <c r="I160">
        <v>45</v>
      </c>
    </row>
    <row r="161" spans="1:9" x14ac:dyDescent="0.35">
      <c r="A161" t="s">
        <v>42</v>
      </c>
      <c r="B161">
        <v>2022</v>
      </c>
      <c r="C161" t="s">
        <v>10</v>
      </c>
      <c r="D161" t="s">
        <v>15</v>
      </c>
      <c r="E161" t="str">
        <f>tblData[[#This Row],[Company]]&amp;"|"&amp;tblData[[#This Row],[Line item as reported]]</f>
        <v>Metro|Earnings before income taxes</v>
      </c>
      <c r="F161" t="str">
        <f>_xlfn.XLOOKUP(tblData[[#This Row],[Map key]],tblMap[Map key],tblMap[Standard line item],"UNMAPPED")</f>
        <v>Earnings before income taxes</v>
      </c>
      <c r="G161" s="9">
        <v>1153.5999999999999</v>
      </c>
      <c r="H161" t="s">
        <v>116</v>
      </c>
      <c r="I161">
        <v>45</v>
      </c>
    </row>
    <row r="162" spans="1:9" x14ac:dyDescent="0.35">
      <c r="A162" t="s">
        <v>42</v>
      </c>
      <c r="B162">
        <v>2022</v>
      </c>
      <c r="C162" t="s">
        <v>10</v>
      </c>
      <c r="D162" t="s">
        <v>16</v>
      </c>
      <c r="E162" t="str">
        <f>tblData[[#This Row],[Company]]&amp;"|"&amp;tblData[[#This Row],[Line item as reported]]</f>
        <v>Metro|Income taxes</v>
      </c>
      <c r="F162" t="str">
        <f>_xlfn.XLOOKUP(tblData[[#This Row],[Map key]],tblMap[Map key],tblMap[Standard line item],"UNMAPPED")</f>
        <v>Income taxes</v>
      </c>
      <c r="G162" s="9">
        <v>304.10000000000002</v>
      </c>
      <c r="H162" t="s">
        <v>116</v>
      </c>
      <c r="I162">
        <v>45</v>
      </c>
    </row>
    <row r="163" spans="1:9" x14ac:dyDescent="0.35">
      <c r="A163" t="s">
        <v>42</v>
      </c>
      <c r="B163">
        <v>2022</v>
      </c>
      <c r="C163" t="s">
        <v>10</v>
      </c>
      <c r="D163" t="s">
        <v>17</v>
      </c>
      <c r="E163" t="str">
        <f>tblData[[#This Row],[Company]]&amp;"|"&amp;tblData[[#This Row],[Line item as reported]]</f>
        <v>Metro|No discontinued operations</v>
      </c>
      <c r="F163" t="str">
        <f>_xlfn.XLOOKUP(tblData[[#This Row],[Map key]],tblMap[Map key],tblMap[Standard line item],"UNMAPPED")</f>
        <v>Net earnings from discontinued operations</v>
      </c>
      <c r="G163" s="9">
        <v>0</v>
      </c>
      <c r="H163" t="s">
        <v>116</v>
      </c>
      <c r="I163">
        <v>45</v>
      </c>
    </row>
    <row r="164" spans="1:9" x14ac:dyDescent="0.35">
      <c r="A164" t="s">
        <v>42</v>
      </c>
      <c r="B164">
        <v>2022</v>
      </c>
      <c r="C164" t="s">
        <v>10</v>
      </c>
      <c r="D164" t="s">
        <v>20</v>
      </c>
      <c r="E164" t="str">
        <f>tblData[[#This Row],[Company]]&amp;"|"&amp;tblData[[#This Row],[Line item as reported]]</f>
        <v>Metro|Net earnings</v>
      </c>
      <c r="F164" t="str">
        <f>_xlfn.XLOOKUP(tblData[[#This Row],[Map key]],tblMap[Map key],tblMap[Standard line item],"UNMAPPED")</f>
        <v>Net earnings</v>
      </c>
      <c r="G164" s="9">
        <v>849.5</v>
      </c>
      <c r="H164" t="s">
        <v>116</v>
      </c>
      <c r="I164">
        <v>45</v>
      </c>
    </row>
    <row r="165" spans="1:9" x14ac:dyDescent="0.35">
      <c r="A165" t="s">
        <v>42</v>
      </c>
      <c r="B165">
        <v>2022</v>
      </c>
      <c r="C165" t="s">
        <v>10</v>
      </c>
      <c r="D165" t="s">
        <v>47</v>
      </c>
      <c r="E165" t="str">
        <f>tblData[[#This Row],[Company]]&amp;"|"&amp;tblData[[#This Row],[Line item as reported]]</f>
        <v>Metro|Equity holders of the parent</v>
      </c>
      <c r="F165" t="str">
        <f>_xlfn.XLOOKUP(tblData[[#This Row],[Map key]],tblMap[Map key],tblMap[Standard line item],"UNMAPPED")</f>
        <v>Net earnings attributable to shareholders</v>
      </c>
      <c r="G165" s="9">
        <v>846.1</v>
      </c>
      <c r="H165" t="s">
        <v>116</v>
      </c>
      <c r="I165">
        <v>45</v>
      </c>
    </row>
    <row r="166" spans="1:9" x14ac:dyDescent="0.35">
      <c r="A166" t="s">
        <v>42</v>
      </c>
      <c r="B166">
        <v>2022</v>
      </c>
      <c r="C166" t="s">
        <v>24</v>
      </c>
      <c r="D166" t="s">
        <v>23</v>
      </c>
      <c r="E166" t="str">
        <f>tblData[[#This Row],[Company]]&amp;"|"&amp;tblData[[#This Row],[Line item as reported]]</f>
        <v>Metro|Inventories</v>
      </c>
      <c r="F166" t="str">
        <f>_xlfn.XLOOKUP(tblData[[#This Row],[Map key]],tblMap[Map key],tblMap[Standard line item],"UNMAPPED")</f>
        <v>Inventories</v>
      </c>
      <c r="G166" s="9">
        <v>1331.1</v>
      </c>
      <c r="H166" t="s">
        <v>116</v>
      </c>
      <c r="I166">
        <v>47</v>
      </c>
    </row>
    <row r="167" spans="1:9" x14ac:dyDescent="0.35">
      <c r="A167" t="s">
        <v>42</v>
      </c>
      <c r="B167">
        <v>2022</v>
      </c>
      <c r="C167" t="s">
        <v>24</v>
      </c>
      <c r="D167" t="s">
        <v>48</v>
      </c>
      <c r="E167" t="str">
        <f>tblData[[#This Row],[Company]]&amp;"|"&amp;tblData[[#This Row],[Line item as reported]]</f>
        <v>Metro|Current assets (unlabelled subtotal)</v>
      </c>
      <c r="F167" t="str">
        <f>_xlfn.XLOOKUP(tblData[[#This Row],[Map key]],tblMap[Map key],tblMap[Standard line item],"UNMAPPED")</f>
        <v>Total current assets</v>
      </c>
      <c r="G167" s="9">
        <v>2183.3000000000002</v>
      </c>
      <c r="H167" t="s">
        <v>116</v>
      </c>
      <c r="I167">
        <v>47</v>
      </c>
    </row>
    <row r="168" spans="1:9" x14ac:dyDescent="0.35">
      <c r="A168" t="s">
        <v>42</v>
      </c>
      <c r="B168">
        <v>2022</v>
      </c>
      <c r="C168" t="s">
        <v>24</v>
      </c>
      <c r="D168" t="s">
        <v>49</v>
      </c>
      <c r="E168" t="str">
        <f>tblData[[#This Row],[Company]]&amp;"|"&amp;tblData[[#This Row],[Line item as reported]]</f>
        <v>Metro|Total assets (unlabelled subtotal)</v>
      </c>
      <c r="F168" t="str">
        <f>_xlfn.XLOOKUP(tblData[[#This Row],[Map key]],tblMap[Map key],tblMap[Standard line item],"UNMAPPED")</f>
        <v>Total assets</v>
      </c>
      <c r="G168" s="9">
        <v>13401.3</v>
      </c>
      <c r="H168" t="s">
        <v>116</v>
      </c>
      <c r="I168">
        <v>47</v>
      </c>
    </row>
    <row r="169" spans="1:9" x14ac:dyDescent="0.35">
      <c r="A169" t="s">
        <v>42</v>
      </c>
      <c r="B169">
        <v>2022</v>
      </c>
      <c r="C169" t="s">
        <v>24</v>
      </c>
      <c r="D169" t="s">
        <v>50</v>
      </c>
      <c r="E169" t="str">
        <f>tblData[[#This Row],[Company]]&amp;"|"&amp;tblData[[#This Row],[Line item as reported]]</f>
        <v>Metro|Current liabilities (unlabelled subtotal)</v>
      </c>
      <c r="F169" t="str">
        <f>_xlfn.XLOOKUP(tblData[[#This Row],[Map key]],tblMap[Map key],tblMap[Standard line item],"UNMAPPED")</f>
        <v>Total current liabilities</v>
      </c>
      <c r="G169" s="9">
        <v>1952.5</v>
      </c>
      <c r="H169" t="s">
        <v>116</v>
      </c>
      <c r="I169">
        <v>47</v>
      </c>
    </row>
    <row r="170" spans="1:9" x14ac:dyDescent="0.35">
      <c r="A170" t="s">
        <v>42</v>
      </c>
      <c r="B170">
        <v>2022</v>
      </c>
      <c r="C170" t="s">
        <v>24</v>
      </c>
      <c r="D170" t="s">
        <v>51</v>
      </c>
      <c r="E170" t="str">
        <f>tblData[[#This Row],[Company]]&amp;"|"&amp;tblData[[#This Row],[Line item as reported]]</f>
        <v>Metro|Total liabilities (unlabelled subtotal)</v>
      </c>
      <c r="F170" t="str">
        <f>_xlfn.XLOOKUP(tblData[[#This Row],[Map key]],tblMap[Map key],tblMap[Standard line item],"UNMAPPED")</f>
        <v>Total liabilities</v>
      </c>
      <c r="G170" s="9">
        <v>6782.9</v>
      </c>
      <c r="H170" t="s">
        <v>116</v>
      </c>
      <c r="I170">
        <v>47</v>
      </c>
    </row>
    <row r="171" spans="1:9" x14ac:dyDescent="0.35">
      <c r="A171" t="s">
        <v>42</v>
      </c>
      <c r="B171">
        <v>2022</v>
      </c>
      <c r="C171" t="s">
        <v>24</v>
      </c>
      <c r="D171" t="s">
        <v>52</v>
      </c>
      <c r="E171" t="str">
        <f>tblData[[#This Row],[Company]]&amp;"|"&amp;tblData[[#This Row],[Line item as reported]]</f>
        <v>Metro|Total equity (unlabelled subtotal)</v>
      </c>
      <c r="F171" t="str">
        <f>_xlfn.XLOOKUP(tblData[[#This Row],[Map key]],tblMap[Map key],tblMap[Standard line item],"UNMAPPED")</f>
        <v>Total equity</v>
      </c>
      <c r="G171" s="9">
        <v>6618.4</v>
      </c>
      <c r="H171" t="s">
        <v>116</v>
      </c>
      <c r="I171">
        <v>47</v>
      </c>
    </row>
    <row r="172" spans="1:9" x14ac:dyDescent="0.35">
      <c r="A172" t="s">
        <v>42</v>
      </c>
      <c r="B172">
        <v>2022</v>
      </c>
      <c r="C172" t="s">
        <v>24</v>
      </c>
      <c r="D172" t="s">
        <v>53</v>
      </c>
      <c r="E172" t="str">
        <f>tblData[[#This Row],[Company]]&amp;"|"&amp;tblData[[#This Row],[Line item as reported]]</f>
        <v>Metro|Attributable to equity holders of the parent</v>
      </c>
      <c r="F172" t="str">
        <f>_xlfn.XLOOKUP(tblData[[#This Row],[Map key]],tblMap[Map key],tblMap[Standard line item],"UNMAPPED")</f>
        <v>Equity attributable to shareholders</v>
      </c>
      <c r="G172" s="9">
        <v>6604.5</v>
      </c>
      <c r="H172" t="s">
        <v>116</v>
      </c>
      <c r="I172">
        <v>47</v>
      </c>
    </row>
    <row r="173" spans="1:9" x14ac:dyDescent="0.35">
      <c r="A173" t="s">
        <v>42</v>
      </c>
      <c r="B173">
        <v>2022</v>
      </c>
      <c r="C173" t="s">
        <v>34</v>
      </c>
      <c r="D173" t="s">
        <v>54</v>
      </c>
      <c r="E173" t="str">
        <f>tblData[[#This Row],[Company]]&amp;"|"&amp;tblData[[#This Row],[Line item as reported]]</f>
        <v>Metro|Operating activities (unlabelled subtotal)</v>
      </c>
      <c r="F173" t="str">
        <f>_xlfn.XLOOKUP(tblData[[#This Row],[Map key]],tblMap[Map key],tblMap[Standard line item],"UNMAPPED")</f>
        <v>Cash from operating activities</v>
      </c>
      <c r="G173" s="9">
        <v>1461.4</v>
      </c>
      <c r="H173" t="s">
        <v>116</v>
      </c>
      <c r="I173">
        <v>49</v>
      </c>
    </row>
    <row r="174" spans="1:9" x14ac:dyDescent="0.35">
      <c r="A174" t="s">
        <v>42</v>
      </c>
      <c r="B174">
        <v>2022</v>
      </c>
      <c r="C174" t="s">
        <v>34</v>
      </c>
      <c r="D174" t="s">
        <v>59</v>
      </c>
      <c r="E174" t="str">
        <f>tblData[[#This Row],[Company]]&amp;"|"&amp;tblData[[#This Row],[Line item as reported]]</f>
        <v>Metro|Additions to fixed assets</v>
      </c>
      <c r="F174" t="str">
        <f>_xlfn.XLOOKUP(tblData[[#This Row],[Map key]],tblMap[Map key],tblMap[Standard line item],"UNMAPPED")</f>
        <v>Purchases of fixed assets</v>
      </c>
      <c r="G174" s="9">
        <v>522.79999999999995</v>
      </c>
      <c r="H174" t="s">
        <v>116</v>
      </c>
      <c r="I174">
        <v>49</v>
      </c>
    </row>
    <row r="175" spans="1:9" x14ac:dyDescent="0.35">
      <c r="A175" t="s">
        <v>42</v>
      </c>
      <c r="B175">
        <v>2022</v>
      </c>
      <c r="C175" t="s">
        <v>34</v>
      </c>
      <c r="D175" t="s">
        <v>56</v>
      </c>
      <c r="E175" t="str">
        <f>tblData[[#This Row],[Company]]&amp;"|"&amp;tblData[[#This Row],[Line item as reported]]</f>
        <v>Metro|Additions to intangible assets</v>
      </c>
      <c r="F175" t="str">
        <f>_xlfn.XLOOKUP(tblData[[#This Row],[Map key]],tblMap[Map key],tblMap[Standard line item],"UNMAPPED")</f>
        <v>Purchases of intangible assets</v>
      </c>
      <c r="G175" s="9">
        <v>98.2</v>
      </c>
      <c r="H175" t="s">
        <v>116</v>
      </c>
      <c r="I175">
        <v>49</v>
      </c>
    </row>
    <row r="176" spans="1:9" x14ac:dyDescent="0.35">
      <c r="A176" t="s">
        <v>42</v>
      </c>
      <c r="B176">
        <v>2022</v>
      </c>
      <c r="C176" t="s">
        <v>34</v>
      </c>
      <c r="D176" t="s">
        <v>57</v>
      </c>
      <c r="E176" t="str">
        <f>tblData[[#This Row],[Company]]&amp;"|"&amp;tblData[[#This Row],[Line item as reported]]</f>
        <v>Metro|Payment of lease liabilities (principal)</v>
      </c>
      <c r="F176" t="str">
        <f>_xlfn.XLOOKUP(tblData[[#This Row],[Map key]],tblMap[Map key],tblMap[Standard line item],"UNMAPPED")</f>
        <v>Lease principal payments</v>
      </c>
      <c r="G176" s="9">
        <v>268</v>
      </c>
      <c r="H176" t="s">
        <v>116</v>
      </c>
      <c r="I176">
        <v>49</v>
      </c>
    </row>
    <row r="177" spans="1:9" x14ac:dyDescent="0.35">
      <c r="A177" t="s">
        <v>42</v>
      </c>
      <c r="B177">
        <v>2023</v>
      </c>
      <c r="C177" t="s">
        <v>10</v>
      </c>
      <c r="D177" t="s">
        <v>43</v>
      </c>
      <c r="E177" t="str">
        <f>tblData[[#This Row],[Company]]&amp;"|"&amp;tblData[[#This Row],[Line item as reported]]</f>
        <v>Metro|Sales</v>
      </c>
      <c r="F177" t="str">
        <f>_xlfn.XLOOKUP(tblData[[#This Row],[Map key]],tblMap[Map key],tblMap[Standard line item],"UNMAPPED")</f>
        <v>Revenue</v>
      </c>
      <c r="G177" s="9">
        <v>20724.599999999999</v>
      </c>
      <c r="H177" t="s">
        <v>116</v>
      </c>
      <c r="I177">
        <v>45</v>
      </c>
    </row>
    <row r="178" spans="1:9" x14ac:dyDescent="0.35">
      <c r="A178" t="s">
        <v>42</v>
      </c>
      <c r="B178">
        <v>2023</v>
      </c>
      <c r="C178" t="s">
        <v>10</v>
      </c>
      <c r="D178" t="s">
        <v>12</v>
      </c>
      <c r="E178" t="str">
        <f>tblData[[#This Row],[Company]]&amp;"|"&amp;tblData[[#This Row],[Line item as reported]]</f>
        <v>Metro|Cost of sales</v>
      </c>
      <c r="F178" t="str">
        <f>_xlfn.XLOOKUP(tblData[[#This Row],[Map key]],tblMap[Map key],tblMap[Standard line item],"UNMAPPED")</f>
        <v>Cost of sales</v>
      </c>
      <c r="G178" s="9">
        <v>16642.400000000001</v>
      </c>
      <c r="H178" t="s">
        <v>116</v>
      </c>
      <c r="I178">
        <v>45</v>
      </c>
    </row>
    <row r="179" spans="1:9" x14ac:dyDescent="0.35">
      <c r="A179" t="s">
        <v>42</v>
      </c>
      <c r="B179">
        <v>2023</v>
      </c>
      <c r="C179" t="s">
        <v>10</v>
      </c>
      <c r="D179" t="s">
        <v>58</v>
      </c>
      <c r="E179" t="str">
        <f>tblData[[#This Row],[Company]]&amp;"|"&amp;tblData[[#This Row],[Line item as reported]]</f>
        <v>Metro|Net financial costs</v>
      </c>
      <c r="F179" t="str">
        <f>_xlfn.XLOOKUP(tblData[[#This Row],[Map key]],tblMap[Map key],tblMap[Standard line item],"UNMAPPED")</f>
        <v>Net finance costs</v>
      </c>
      <c r="G179" s="9">
        <v>122.6</v>
      </c>
      <c r="H179" t="s">
        <v>116</v>
      </c>
      <c r="I179">
        <v>45</v>
      </c>
    </row>
    <row r="180" spans="1:9" x14ac:dyDescent="0.35">
      <c r="A180" t="s">
        <v>42</v>
      </c>
      <c r="B180">
        <v>2023</v>
      </c>
      <c r="C180" t="s">
        <v>10</v>
      </c>
      <c r="D180" t="s">
        <v>15</v>
      </c>
      <c r="E180" t="str">
        <f>tblData[[#This Row],[Company]]&amp;"|"&amp;tblData[[#This Row],[Line item as reported]]</f>
        <v>Metro|Earnings before income taxes</v>
      </c>
      <c r="F180" t="str">
        <f>_xlfn.XLOOKUP(tblData[[#This Row],[Map key]],tblMap[Map key],tblMap[Standard line item],"UNMAPPED")</f>
        <v>Earnings before income taxes</v>
      </c>
      <c r="G180" s="9">
        <v>1321.8</v>
      </c>
      <c r="H180" t="s">
        <v>116</v>
      </c>
      <c r="I180">
        <v>45</v>
      </c>
    </row>
    <row r="181" spans="1:9" x14ac:dyDescent="0.35">
      <c r="A181" t="s">
        <v>42</v>
      </c>
      <c r="B181">
        <v>2023</v>
      </c>
      <c r="C181" t="s">
        <v>10</v>
      </c>
      <c r="D181" t="s">
        <v>16</v>
      </c>
      <c r="E181" t="str">
        <f>tblData[[#This Row],[Company]]&amp;"|"&amp;tblData[[#This Row],[Line item as reported]]</f>
        <v>Metro|Income taxes</v>
      </c>
      <c r="F181" t="str">
        <f>_xlfn.XLOOKUP(tblData[[#This Row],[Map key]],tblMap[Map key],tblMap[Standard line item],"UNMAPPED")</f>
        <v>Income taxes</v>
      </c>
      <c r="G181" s="9">
        <v>303</v>
      </c>
      <c r="H181" t="s">
        <v>116</v>
      </c>
      <c r="I181">
        <v>45</v>
      </c>
    </row>
    <row r="182" spans="1:9" x14ac:dyDescent="0.35">
      <c r="A182" t="s">
        <v>42</v>
      </c>
      <c r="B182">
        <v>2023</v>
      </c>
      <c r="C182" t="s">
        <v>10</v>
      </c>
      <c r="D182" t="s">
        <v>17</v>
      </c>
      <c r="E182" t="str">
        <f>tblData[[#This Row],[Company]]&amp;"|"&amp;tblData[[#This Row],[Line item as reported]]</f>
        <v>Metro|No discontinued operations</v>
      </c>
      <c r="F182" t="str">
        <f>_xlfn.XLOOKUP(tblData[[#This Row],[Map key]],tblMap[Map key],tblMap[Standard line item],"UNMAPPED")</f>
        <v>Net earnings from discontinued operations</v>
      </c>
      <c r="G182" s="9">
        <v>0</v>
      </c>
      <c r="H182" t="s">
        <v>116</v>
      </c>
      <c r="I182">
        <v>45</v>
      </c>
    </row>
    <row r="183" spans="1:9" x14ac:dyDescent="0.35">
      <c r="A183" t="s">
        <v>42</v>
      </c>
      <c r="B183">
        <v>2023</v>
      </c>
      <c r="C183" t="s">
        <v>10</v>
      </c>
      <c r="D183" t="s">
        <v>20</v>
      </c>
      <c r="E183" t="str">
        <f>tblData[[#This Row],[Company]]&amp;"|"&amp;tblData[[#This Row],[Line item as reported]]</f>
        <v>Metro|Net earnings</v>
      </c>
      <c r="F183" t="str">
        <f>_xlfn.XLOOKUP(tblData[[#This Row],[Map key]],tblMap[Map key],tblMap[Standard line item],"UNMAPPED")</f>
        <v>Net earnings</v>
      </c>
      <c r="G183" s="9">
        <v>1018.8</v>
      </c>
      <c r="H183" t="s">
        <v>116</v>
      </c>
      <c r="I183">
        <v>45</v>
      </c>
    </row>
    <row r="184" spans="1:9" x14ac:dyDescent="0.35">
      <c r="A184" t="s">
        <v>42</v>
      </c>
      <c r="B184">
        <v>2023</v>
      </c>
      <c r="C184" t="s">
        <v>10</v>
      </c>
      <c r="D184" t="s">
        <v>47</v>
      </c>
      <c r="E184" t="str">
        <f>tblData[[#This Row],[Company]]&amp;"|"&amp;tblData[[#This Row],[Line item as reported]]</f>
        <v>Metro|Equity holders of the parent</v>
      </c>
      <c r="F184" t="str">
        <f>_xlfn.XLOOKUP(tblData[[#This Row],[Map key]],tblMap[Map key],tblMap[Standard line item],"UNMAPPED")</f>
        <v>Net earnings attributable to shareholders</v>
      </c>
      <c r="G184" s="9">
        <v>1014.8</v>
      </c>
      <c r="H184" t="s">
        <v>116</v>
      </c>
      <c r="I184">
        <v>45</v>
      </c>
    </row>
    <row r="185" spans="1:9" x14ac:dyDescent="0.35">
      <c r="A185" t="s">
        <v>42</v>
      </c>
      <c r="B185">
        <v>2023</v>
      </c>
      <c r="C185" t="s">
        <v>24</v>
      </c>
      <c r="D185" t="s">
        <v>23</v>
      </c>
      <c r="E185" t="str">
        <f>tblData[[#This Row],[Company]]&amp;"|"&amp;tblData[[#This Row],[Line item as reported]]</f>
        <v>Metro|Inventories</v>
      </c>
      <c r="F185" t="str">
        <f>_xlfn.XLOOKUP(tblData[[#This Row],[Map key]],tblMap[Map key],tblMap[Standard line item],"UNMAPPED")</f>
        <v>Inventories</v>
      </c>
      <c r="G185" s="9">
        <v>1451</v>
      </c>
      <c r="H185" t="s">
        <v>116</v>
      </c>
      <c r="I185">
        <v>47</v>
      </c>
    </row>
    <row r="186" spans="1:9" x14ac:dyDescent="0.35">
      <c r="A186" t="s">
        <v>42</v>
      </c>
      <c r="B186">
        <v>2023</v>
      </c>
      <c r="C186" t="s">
        <v>24</v>
      </c>
      <c r="D186" t="s">
        <v>48</v>
      </c>
      <c r="E186" t="str">
        <f>tblData[[#This Row],[Company]]&amp;"|"&amp;tblData[[#This Row],[Line item as reported]]</f>
        <v>Metro|Current assets (unlabelled subtotal)</v>
      </c>
      <c r="F186" t="str">
        <f>_xlfn.XLOOKUP(tblData[[#This Row],[Map key]],tblMap[Map key],tblMap[Standard line item],"UNMAPPED")</f>
        <v>Total current assets</v>
      </c>
      <c r="G186" s="9">
        <v>2403.6</v>
      </c>
      <c r="H186" t="s">
        <v>116</v>
      </c>
      <c r="I186">
        <v>47</v>
      </c>
    </row>
    <row r="187" spans="1:9" x14ac:dyDescent="0.35">
      <c r="A187" t="s">
        <v>42</v>
      </c>
      <c r="B187">
        <v>2023</v>
      </c>
      <c r="C187" t="s">
        <v>24</v>
      </c>
      <c r="D187" t="s">
        <v>49</v>
      </c>
      <c r="E187" t="str">
        <f>tblData[[#This Row],[Company]]&amp;"|"&amp;tblData[[#This Row],[Line item as reported]]</f>
        <v>Metro|Total assets (unlabelled subtotal)</v>
      </c>
      <c r="F187" t="str">
        <f>_xlfn.XLOOKUP(tblData[[#This Row],[Map key]],tblMap[Map key],tblMap[Standard line item],"UNMAPPED")</f>
        <v>Total assets</v>
      </c>
      <c r="G187" s="9">
        <v>13865.3</v>
      </c>
      <c r="H187" t="s">
        <v>116</v>
      </c>
      <c r="I187">
        <v>47</v>
      </c>
    </row>
    <row r="188" spans="1:9" x14ac:dyDescent="0.35">
      <c r="A188" t="s">
        <v>42</v>
      </c>
      <c r="B188">
        <v>2023</v>
      </c>
      <c r="C188" t="s">
        <v>24</v>
      </c>
      <c r="D188" t="s">
        <v>50</v>
      </c>
      <c r="E188" t="str">
        <f>tblData[[#This Row],[Company]]&amp;"|"&amp;tblData[[#This Row],[Line item as reported]]</f>
        <v>Metro|Current liabilities (unlabelled subtotal)</v>
      </c>
      <c r="F188" t="str">
        <f>_xlfn.XLOOKUP(tblData[[#This Row],[Map key]],tblMap[Map key],tblMap[Standard line item],"UNMAPPED")</f>
        <v>Total current liabilities</v>
      </c>
      <c r="G188" s="9">
        <v>1960.8</v>
      </c>
      <c r="H188" t="s">
        <v>116</v>
      </c>
      <c r="I188">
        <v>47</v>
      </c>
    </row>
    <row r="189" spans="1:9" x14ac:dyDescent="0.35">
      <c r="A189" t="s">
        <v>42</v>
      </c>
      <c r="B189">
        <v>2023</v>
      </c>
      <c r="C189" t="s">
        <v>24</v>
      </c>
      <c r="D189" t="s">
        <v>51</v>
      </c>
      <c r="E189" t="str">
        <f>tblData[[#This Row],[Company]]&amp;"|"&amp;tblData[[#This Row],[Line item as reported]]</f>
        <v>Metro|Total liabilities (unlabelled subtotal)</v>
      </c>
      <c r="F189" t="str">
        <f>_xlfn.XLOOKUP(tblData[[#This Row],[Map key]],tblMap[Map key],tblMap[Standard line item],"UNMAPPED")</f>
        <v>Total liabilities</v>
      </c>
      <c r="G189" s="9">
        <v>7049</v>
      </c>
      <c r="H189" t="s">
        <v>116</v>
      </c>
      <c r="I189">
        <v>47</v>
      </c>
    </row>
    <row r="190" spans="1:9" x14ac:dyDescent="0.35">
      <c r="A190" t="s">
        <v>42</v>
      </c>
      <c r="B190">
        <v>2023</v>
      </c>
      <c r="C190" t="s">
        <v>24</v>
      </c>
      <c r="D190" t="s">
        <v>52</v>
      </c>
      <c r="E190" t="str">
        <f>tblData[[#This Row],[Company]]&amp;"|"&amp;tblData[[#This Row],[Line item as reported]]</f>
        <v>Metro|Total equity (unlabelled subtotal)</v>
      </c>
      <c r="F190" t="str">
        <f>_xlfn.XLOOKUP(tblData[[#This Row],[Map key]],tblMap[Map key],tblMap[Standard line item],"UNMAPPED")</f>
        <v>Total equity</v>
      </c>
      <c r="G190" s="9">
        <v>6816.3</v>
      </c>
      <c r="H190" t="s">
        <v>116</v>
      </c>
      <c r="I190">
        <v>47</v>
      </c>
    </row>
    <row r="191" spans="1:9" x14ac:dyDescent="0.35">
      <c r="A191" t="s">
        <v>42</v>
      </c>
      <c r="B191">
        <v>2023</v>
      </c>
      <c r="C191" t="s">
        <v>24</v>
      </c>
      <c r="D191" t="s">
        <v>53</v>
      </c>
      <c r="E191" t="str">
        <f>tblData[[#This Row],[Company]]&amp;"|"&amp;tblData[[#This Row],[Line item as reported]]</f>
        <v>Metro|Attributable to equity holders of the parent</v>
      </c>
      <c r="F191" t="str">
        <f>_xlfn.XLOOKUP(tblData[[#This Row],[Map key]],tblMap[Map key],tblMap[Standard line item],"UNMAPPED")</f>
        <v>Equity attributable to shareholders</v>
      </c>
      <c r="G191" s="9">
        <v>6801.2</v>
      </c>
      <c r="H191" t="s">
        <v>116</v>
      </c>
      <c r="I191">
        <v>47</v>
      </c>
    </row>
    <row r="192" spans="1:9" x14ac:dyDescent="0.35">
      <c r="A192" t="s">
        <v>42</v>
      </c>
      <c r="B192">
        <v>2023</v>
      </c>
      <c r="C192" t="s">
        <v>34</v>
      </c>
      <c r="D192" t="s">
        <v>54</v>
      </c>
      <c r="E192" t="str">
        <f>tblData[[#This Row],[Company]]&amp;"|"&amp;tblData[[#This Row],[Line item as reported]]</f>
        <v>Metro|Operating activities (unlabelled subtotal)</v>
      </c>
      <c r="F192" t="str">
        <f>_xlfn.XLOOKUP(tblData[[#This Row],[Map key]],tblMap[Map key],tblMap[Standard line item],"UNMAPPED")</f>
        <v>Cash from operating activities</v>
      </c>
      <c r="G192" s="9">
        <v>1563.5</v>
      </c>
      <c r="H192" t="s">
        <v>116</v>
      </c>
      <c r="I192">
        <v>49</v>
      </c>
    </row>
    <row r="193" spans="1:9" x14ac:dyDescent="0.35">
      <c r="A193" t="s">
        <v>42</v>
      </c>
      <c r="B193">
        <v>2023</v>
      </c>
      <c r="C193" t="s">
        <v>34</v>
      </c>
      <c r="D193" t="s">
        <v>59</v>
      </c>
      <c r="E193" t="str">
        <f>tblData[[#This Row],[Company]]&amp;"|"&amp;tblData[[#This Row],[Line item as reported]]</f>
        <v>Metro|Additions to fixed assets</v>
      </c>
      <c r="F193" t="str">
        <f>_xlfn.XLOOKUP(tblData[[#This Row],[Map key]],tblMap[Map key],tblMap[Standard line item],"UNMAPPED")</f>
        <v>Purchases of fixed assets</v>
      </c>
      <c r="G193" s="9">
        <v>597.20000000000005</v>
      </c>
      <c r="H193" t="s">
        <v>116</v>
      </c>
      <c r="I193">
        <v>49</v>
      </c>
    </row>
    <row r="194" spans="1:9" x14ac:dyDescent="0.35">
      <c r="A194" t="s">
        <v>42</v>
      </c>
      <c r="B194">
        <v>2023</v>
      </c>
      <c r="C194" t="s">
        <v>34</v>
      </c>
      <c r="D194" t="s">
        <v>56</v>
      </c>
      <c r="E194" t="str">
        <f>tblData[[#This Row],[Company]]&amp;"|"&amp;tblData[[#This Row],[Line item as reported]]</f>
        <v>Metro|Additions to intangible assets</v>
      </c>
      <c r="F194" t="str">
        <f>_xlfn.XLOOKUP(tblData[[#This Row],[Map key]],tblMap[Map key],tblMap[Standard line item],"UNMAPPED")</f>
        <v>Purchases of intangible assets</v>
      </c>
      <c r="G194" s="9">
        <v>82.7</v>
      </c>
      <c r="H194" t="s">
        <v>116</v>
      </c>
      <c r="I194">
        <v>49</v>
      </c>
    </row>
    <row r="195" spans="1:9" x14ac:dyDescent="0.35">
      <c r="A195" t="s">
        <v>42</v>
      </c>
      <c r="B195">
        <v>2023</v>
      </c>
      <c r="C195" t="s">
        <v>34</v>
      </c>
      <c r="D195" t="s">
        <v>57</v>
      </c>
      <c r="E195" t="str">
        <f>tblData[[#This Row],[Company]]&amp;"|"&amp;tblData[[#This Row],[Line item as reported]]</f>
        <v>Metro|Payment of lease liabilities (principal)</v>
      </c>
      <c r="F195" t="str">
        <f>_xlfn.XLOOKUP(tblData[[#This Row],[Map key]],tblMap[Map key],tblMap[Standard line item],"UNMAPPED")</f>
        <v>Lease principal payments</v>
      </c>
      <c r="G195" s="9">
        <v>269.10000000000002</v>
      </c>
      <c r="H195" t="s">
        <v>116</v>
      </c>
      <c r="I195">
        <v>49</v>
      </c>
    </row>
    <row r="196" spans="1:9" x14ac:dyDescent="0.35">
      <c r="A196" t="s">
        <v>42</v>
      </c>
      <c r="B196">
        <v>2024</v>
      </c>
      <c r="C196" t="s">
        <v>10</v>
      </c>
      <c r="D196" t="s">
        <v>43</v>
      </c>
      <c r="E196" t="str">
        <f>tblData[[#This Row],[Company]]&amp;"|"&amp;tblData[[#This Row],[Line item as reported]]</f>
        <v>Metro|Sales</v>
      </c>
      <c r="F196" t="str">
        <f>_xlfn.XLOOKUP(tblData[[#This Row],[Map key]],tblMap[Map key],tblMap[Standard line item],"UNMAPPED")</f>
        <v>Revenue</v>
      </c>
      <c r="G196" s="9">
        <v>21219.9</v>
      </c>
      <c r="H196" t="s">
        <v>117</v>
      </c>
      <c r="I196">
        <v>47</v>
      </c>
    </row>
    <row r="197" spans="1:9" x14ac:dyDescent="0.35">
      <c r="A197" t="s">
        <v>42</v>
      </c>
      <c r="B197">
        <v>2024</v>
      </c>
      <c r="C197" t="s">
        <v>10</v>
      </c>
      <c r="D197" t="s">
        <v>12</v>
      </c>
      <c r="E197" t="str">
        <f>tblData[[#This Row],[Company]]&amp;"|"&amp;tblData[[#This Row],[Line item as reported]]</f>
        <v>Metro|Cost of sales</v>
      </c>
      <c r="F197" t="str">
        <f>_xlfn.XLOOKUP(tblData[[#This Row],[Map key]],tblMap[Map key],tblMap[Standard line item],"UNMAPPED")</f>
        <v>Cost of sales</v>
      </c>
      <c r="G197" s="9">
        <v>17040.599999999999</v>
      </c>
      <c r="H197" t="s">
        <v>117</v>
      </c>
      <c r="I197">
        <v>47</v>
      </c>
    </row>
    <row r="198" spans="1:9" x14ac:dyDescent="0.35">
      <c r="A198" t="s">
        <v>42</v>
      </c>
      <c r="B198">
        <v>2024</v>
      </c>
      <c r="C198" t="s">
        <v>10</v>
      </c>
      <c r="D198" t="s">
        <v>58</v>
      </c>
      <c r="E198" t="str">
        <f>tblData[[#This Row],[Company]]&amp;"|"&amp;tblData[[#This Row],[Line item as reported]]</f>
        <v>Metro|Net financial costs</v>
      </c>
      <c r="F198" t="str">
        <f>_xlfn.XLOOKUP(tblData[[#This Row],[Map key]],tblMap[Map key],tblMap[Standard line item],"UNMAPPED")</f>
        <v>Net finance costs</v>
      </c>
      <c r="G198" s="9">
        <v>145.69999999999999</v>
      </c>
      <c r="H198" t="s">
        <v>117</v>
      </c>
      <c r="I198">
        <v>47</v>
      </c>
    </row>
    <row r="199" spans="1:9" x14ac:dyDescent="0.35">
      <c r="A199" t="s">
        <v>42</v>
      </c>
      <c r="B199">
        <v>2024</v>
      </c>
      <c r="C199" t="s">
        <v>10</v>
      </c>
      <c r="D199" t="s">
        <v>15</v>
      </c>
      <c r="E199" t="str">
        <f>tblData[[#This Row],[Company]]&amp;"|"&amp;tblData[[#This Row],[Line item as reported]]</f>
        <v>Metro|Earnings before income taxes</v>
      </c>
      <c r="F199" t="str">
        <f>_xlfn.XLOOKUP(tblData[[#This Row],[Map key]],tblMap[Map key],tblMap[Standard line item],"UNMAPPED")</f>
        <v>Earnings before income taxes</v>
      </c>
      <c r="G199" s="9">
        <v>1250.0999999999999</v>
      </c>
      <c r="H199" t="s">
        <v>117</v>
      </c>
      <c r="I199">
        <v>47</v>
      </c>
    </row>
    <row r="200" spans="1:9" x14ac:dyDescent="0.35">
      <c r="A200" t="s">
        <v>42</v>
      </c>
      <c r="B200">
        <v>2024</v>
      </c>
      <c r="C200" t="s">
        <v>10</v>
      </c>
      <c r="D200" t="s">
        <v>16</v>
      </c>
      <c r="E200" t="str">
        <f>tblData[[#This Row],[Company]]&amp;"|"&amp;tblData[[#This Row],[Line item as reported]]</f>
        <v>Metro|Income taxes</v>
      </c>
      <c r="F200" t="str">
        <f>_xlfn.XLOOKUP(tblData[[#This Row],[Map key]],tblMap[Map key],tblMap[Standard line item],"UNMAPPED")</f>
        <v>Income taxes</v>
      </c>
      <c r="G200" s="9">
        <v>318.39999999999998</v>
      </c>
      <c r="H200" t="s">
        <v>117</v>
      </c>
      <c r="I200">
        <v>47</v>
      </c>
    </row>
    <row r="201" spans="1:9" x14ac:dyDescent="0.35">
      <c r="A201" t="s">
        <v>42</v>
      </c>
      <c r="B201">
        <v>2024</v>
      </c>
      <c r="C201" t="s">
        <v>10</v>
      </c>
      <c r="D201" t="s">
        <v>17</v>
      </c>
      <c r="E201" t="str">
        <f>tblData[[#This Row],[Company]]&amp;"|"&amp;tblData[[#This Row],[Line item as reported]]</f>
        <v>Metro|No discontinued operations</v>
      </c>
      <c r="F201" t="str">
        <f>_xlfn.XLOOKUP(tblData[[#This Row],[Map key]],tblMap[Map key],tblMap[Standard line item],"UNMAPPED")</f>
        <v>Net earnings from discontinued operations</v>
      </c>
      <c r="G201" s="9">
        <v>0</v>
      </c>
      <c r="H201" t="s">
        <v>117</v>
      </c>
      <c r="I201">
        <v>47</v>
      </c>
    </row>
    <row r="202" spans="1:9" x14ac:dyDescent="0.35">
      <c r="A202" t="s">
        <v>42</v>
      </c>
      <c r="B202">
        <v>2024</v>
      </c>
      <c r="C202" t="s">
        <v>10</v>
      </c>
      <c r="D202" t="s">
        <v>20</v>
      </c>
      <c r="E202" t="str">
        <f>tblData[[#This Row],[Company]]&amp;"|"&amp;tblData[[#This Row],[Line item as reported]]</f>
        <v>Metro|Net earnings</v>
      </c>
      <c r="F202" t="str">
        <f>_xlfn.XLOOKUP(tblData[[#This Row],[Map key]],tblMap[Map key],tblMap[Standard line item],"UNMAPPED")</f>
        <v>Net earnings</v>
      </c>
      <c r="G202" s="9">
        <v>931.7</v>
      </c>
      <c r="H202" t="s">
        <v>117</v>
      </c>
      <c r="I202">
        <v>47</v>
      </c>
    </row>
    <row r="203" spans="1:9" x14ac:dyDescent="0.35">
      <c r="A203" t="s">
        <v>42</v>
      </c>
      <c r="B203">
        <v>2024</v>
      </c>
      <c r="C203" t="s">
        <v>10</v>
      </c>
      <c r="D203" t="s">
        <v>47</v>
      </c>
      <c r="E203" t="str">
        <f>tblData[[#This Row],[Company]]&amp;"|"&amp;tblData[[#This Row],[Line item as reported]]</f>
        <v>Metro|Equity holders of the parent</v>
      </c>
      <c r="F203" t="str">
        <f>_xlfn.XLOOKUP(tblData[[#This Row],[Map key]],tblMap[Map key],tblMap[Standard line item],"UNMAPPED")</f>
        <v>Net earnings attributable to shareholders</v>
      </c>
      <c r="G203" s="9">
        <v>928.8</v>
      </c>
      <c r="H203" t="s">
        <v>117</v>
      </c>
      <c r="I203">
        <v>47</v>
      </c>
    </row>
    <row r="204" spans="1:9" x14ac:dyDescent="0.35">
      <c r="A204" t="s">
        <v>42</v>
      </c>
      <c r="B204">
        <v>2024</v>
      </c>
      <c r="C204" t="s">
        <v>24</v>
      </c>
      <c r="D204" t="s">
        <v>23</v>
      </c>
      <c r="E204" t="str">
        <f>tblData[[#This Row],[Company]]&amp;"|"&amp;tblData[[#This Row],[Line item as reported]]</f>
        <v>Metro|Inventories</v>
      </c>
      <c r="F204" t="str">
        <f>_xlfn.XLOOKUP(tblData[[#This Row],[Map key]],tblMap[Map key],tblMap[Standard line item],"UNMAPPED")</f>
        <v>Inventories</v>
      </c>
      <c r="G204" s="9">
        <v>1508.3</v>
      </c>
      <c r="H204" t="s">
        <v>117</v>
      </c>
      <c r="I204">
        <v>49</v>
      </c>
    </row>
    <row r="205" spans="1:9" x14ac:dyDescent="0.35">
      <c r="A205" t="s">
        <v>42</v>
      </c>
      <c r="B205">
        <v>2024</v>
      </c>
      <c r="C205" t="s">
        <v>24</v>
      </c>
      <c r="D205" t="s">
        <v>48</v>
      </c>
      <c r="E205" t="str">
        <f>tblData[[#This Row],[Company]]&amp;"|"&amp;tblData[[#This Row],[Line item as reported]]</f>
        <v>Metro|Current assets (unlabelled subtotal)</v>
      </c>
      <c r="F205" t="str">
        <f>_xlfn.XLOOKUP(tblData[[#This Row],[Map key]],tblMap[Map key],tblMap[Standard line item],"UNMAPPED")</f>
        <v>Total current assets</v>
      </c>
      <c r="G205" s="9">
        <v>2474</v>
      </c>
      <c r="H205" t="s">
        <v>117</v>
      </c>
      <c r="I205">
        <v>49</v>
      </c>
    </row>
    <row r="206" spans="1:9" x14ac:dyDescent="0.35">
      <c r="A206" t="s">
        <v>42</v>
      </c>
      <c r="B206">
        <v>2024</v>
      </c>
      <c r="C206" t="s">
        <v>24</v>
      </c>
      <c r="D206" t="s">
        <v>49</v>
      </c>
      <c r="E206" t="str">
        <f>tblData[[#This Row],[Company]]&amp;"|"&amp;tblData[[#This Row],[Line item as reported]]</f>
        <v>Metro|Total assets (unlabelled subtotal)</v>
      </c>
      <c r="F206" t="str">
        <f>_xlfn.XLOOKUP(tblData[[#This Row],[Map key]],tblMap[Map key],tblMap[Standard line item],"UNMAPPED")</f>
        <v>Total assets</v>
      </c>
      <c r="G206" s="9">
        <v>14140.6</v>
      </c>
      <c r="H206" t="s">
        <v>117</v>
      </c>
      <c r="I206">
        <v>49</v>
      </c>
    </row>
    <row r="207" spans="1:9" x14ac:dyDescent="0.35">
      <c r="A207" t="s">
        <v>42</v>
      </c>
      <c r="B207">
        <v>2024</v>
      </c>
      <c r="C207" t="s">
        <v>24</v>
      </c>
      <c r="D207" t="s">
        <v>50</v>
      </c>
      <c r="E207" t="str">
        <f>tblData[[#This Row],[Company]]&amp;"|"&amp;tblData[[#This Row],[Line item as reported]]</f>
        <v>Metro|Current liabilities (unlabelled subtotal)</v>
      </c>
      <c r="F207" t="str">
        <f>_xlfn.XLOOKUP(tblData[[#This Row],[Map key]],tblMap[Map key],tblMap[Standard line item],"UNMAPPED")</f>
        <v>Total current liabilities</v>
      </c>
      <c r="G207" s="9">
        <v>2285.6</v>
      </c>
      <c r="H207" t="s">
        <v>117</v>
      </c>
      <c r="I207">
        <v>49</v>
      </c>
    </row>
    <row r="208" spans="1:9" x14ac:dyDescent="0.35">
      <c r="A208" t="s">
        <v>42</v>
      </c>
      <c r="B208">
        <v>2024</v>
      </c>
      <c r="C208" t="s">
        <v>24</v>
      </c>
      <c r="D208" t="s">
        <v>51</v>
      </c>
      <c r="E208" t="str">
        <f>tblData[[#This Row],[Company]]&amp;"|"&amp;tblData[[#This Row],[Line item as reported]]</f>
        <v>Metro|Total liabilities (unlabelled subtotal)</v>
      </c>
      <c r="F208" t="str">
        <f>_xlfn.XLOOKUP(tblData[[#This Row],[Map key]],tblMap[Map key],tblMap[Standard line item],"UNMAPPED")</f>
        <v>Total liabilities</v>
      </c>
      <c r="G208" s="9">
        <v>7101.7</v>
      </c>
      <c r="H208" t="s">
        <v>117</v>
      </c>
      <c r="I208">
        <v>49</v>
      </c>
    </row>
    <row r="209" spans="1:9" x14ac:dyDescent="0.35">
      <c r="A209" t="s">
        <v>42</v>
      </c>
      <c r="B209">
        <v>2024</v>
      </c>
      <c r="C209" t="s">
        <v>24</v>
      </c>
      <c r="D209" t="s">
        <v>52</v>
      </c>
      <c r="E209" t="str">
        <f>tblData[[#This Row],[Company]]&amp;"|"&amp;tblData[[#This Row],[Line item as reported]]</f>
        <v>Metro|Total equity (unlabelled subtotal)</v>
      </c>
      <c r="F209" t="str">
        <f>_xlfn.XLOOKUP(tblData[[#This Row],[Map key]],tblMap[Map key],tblMap[Standard line item],"UNMAPPED")</f>
        <v>Total equity</v>
      </c>
      <c r="G209" s="9">
        <v>7038.9</v>
      </c>
      <c r="H209" t="s">
        <v>117</v>
      </c>
      <c r="I209">
        <v>49</v>
      </c>
    </row>
    <row r="210" spans="1:9" x14ac:dyDescent="0.35">
      <c r="A210" t="s">
        <v>42</v>
      </c>
      <c r="B210">
        <v>2024</v>
      </c>
      <c r="C210" t="s">
        <v>24</v>
      </c>
      <c r="D210" t="s">
        <v>53</v>
      </c>
      <c r="E210" t="str">
        <f>tblData[[#This Row],[Company]]&amp;"|"&amp;tblData[[#This Row],[Line item as reported]]</f>
        <v>Metro|Attributable to equity holders of the parent</v>
      </c>
      <c r="F210" t="str">
        <f>_xlfn.XLOOKUP(tblData[[#This Row],[Map key]],tblMap[Map key],tblMap[Standard line item],"UNMAPPED")</f>
        <v>Equity attributable to shareholders</v>
      </c>
      <c r="G210" s="9">
        <v>7021.7</v>
      </c>
      <c r="H210" t="s">
        <v>117</v>
      </c>
      <c r="I210">
        <v>49</v>
      </c>
    </row>
    <row r="211" spans="1:9" x14ac:dyDescent="0.35">
      <c r="A211" t="s">
        <v>42</v>
      </c>
      <c r="B211">
        <v>2024</v>
      </c>
      <c r="C211" t="s">
        <v>34</v>
      </c>
      <c r="D211" t="s">
        <v>54</v>
      </c>
      <c r="E211" t="str">
        <f>tblData[[#This Row],[Company]]&amp;"|"&amp;tblData[[#This Row],[Line item as reported]]</f>
        <v>Metro|Operating activities (unlabelled subtotal)</v>
      </c>
      <c r="F211" t="str">
        <f>_xlfn.XLOOKUP(tblData[[#This Row],[Map key]],tblMap[Map key],tblMap[Standard line item],"UNMAPPED")</f>
        <v>Cash from operating activities</v>
      </c>
      <c r="G211" s="9">
        <v>1677</v>
      </c>
      <c r="H211" t="s">
        <v>117</v>
      </c>
      <c r="I211">
        <v>51</v>
      </c>
    </row>
    <row r="212" spans="1:9" x14ac:dyDescent="0.35">
      <c r="A212" t="s">
        <v>42</v>
      </c>
      <c r="B212">
        <v>2024</v>
      </c>
      <c r="C212" t="s">
        <v>34</v>
      </c>
      <c r="D212" t="s">
        <v>59</v>
      </c>
      <c r="E212" t="str">
        <f>tblData[[#This Row],[Company]]&amp;"|"&amp;tblData[[#This Row],[Line item as reported]]</f>
        <v>Metro|Additions to fixed assets</v>
      </c>
      <c r="F212" t="str">
        <f>_xlfn.XLOOKUP(tblData[[#This Row],[Map key]],tblMap[Map key],tblMap[Standard line item],"UNMAPPED")</f>
        <v>Purchases of fixed assets</v>
      </c>
      <c r="G212" s="9">
        <v>499</v>
      </c>
      <c r="H212" t="s">
        <v>117</v>
      </c>
      <c r="I212">
        <v>51</v>
      </c>
    </row>
    <row r="213" spans="1:9" x14ac:dyDescent="0.35">
      <c r="A213" t="s">
        <v>42</v>
      </c>
      <c r="B213">
        <v>2024</v>
      </c>
      <c r="C213" t="s">
        <v>34</v>
      </c>
      <c r="D213" t="s">
        <v>60</v>
      </c>
      <c r="E213" t="str">
        <f>tblData[[#This Row],[Company]]&amp;"|"&amp;tblData[[#This Row],[Line item as reported]]</f>
        <v>Metro|Additions to intangible assets and goodwill</v>
      </c>
      <c r="F213" t="str">
        <f>_xlfn.XLOOKUP(tblData[[#This Row],[Map key]],tblMap[Map key],tblMap[Standard line item],"UNMAPPED")</f>
        <v>Purchases of intangible assets</v>
      </c>
      <c r="G213" s="9">
        <v>80.7</v>
      </c>
      <c r="H213" t="s">
        <v>117</v>
      </c>
      <c r="I213">
        <v>51</v>
      </c>
    </row>
    <row r="214" spans="1:9" x14ac:dyDescent="0.35">
      <c r="A214" t="s">
        <v>42</v>
      </c>
      <c r="B214">
        <v>2024</v>
      </c>
      <c r="C214" t="s">
        <v>34</v>
      </c>
      <c r="D214" t="s">
        <v>57</v>
      </c>
      <c r="E214" t="str">
        <f>tblData[[#This Row],[Company]]&amp;"|"&amp;tblData[[#This Row],[Line item as reported]]</f>
        <v>Metro|Payment of lease liabilities (principal)</v>
      </c>
      <c r="F214" t="str">
        <f>_xlfn.XLOOKUP(tblData[[#This Row],[Map key]],tblMap[Map key],tblMap[Standard line item],"UNMAPPED")</f>
        <v>Lease principal payments</v>
      </c>
      <c r="G214" s="9">
        <v>267.8</v>
      </c>
      <c r="H214" t="s">
        <v>117</v>
      </c>
      <c r="I214">
        <v>51</v>
      </c>
    </row>
    <row r="215" spans="1:9" x14ac:dyDescent="0.35">
      <c r="A215" t="s">
        <v>42</v>
      </c>
      <c r="B215">
        <v>2025</v>
      </c>
      <c r="C215" t="s">
        <v>10</v>
      </c>
      <c r="D215" t="s">
        <v>43</v>
      </c>
      <c r="E215" t="str">
        <f>tblData[[#This Row],[Company]]&amp;"|"&amp;tblData[[#This Row],[Line item as reported]]</f>
        <v>Metro|Sales</v>
      </c>
      <c r="F215" t="str">
        <f>_xlfn.XLOOKUP(tblData[[#This Row],[Map key]],tblMap[Map key],tblMap[Standard line item],"UNMAPPED")</f>
        <v>Revenue</v>
      </c>
      <c r="G215" s="9">
        <v>22006.7</v>
      </c>
      <c r="H215" t="s">
        <v>117</v>
      </c>
      <c r="I215">
        <v>47</v>
      </c>
    </row>
    <row r="216" spans="1:9" x14ac:dyDescent="0.35">
      <c r="A216" t="s">
        <v>42</v>
      </c>
      <c r="B216">
        <v>2025</v>
      </c>
      <c r="C216" t="s">
        <v>10</v>
      </c>
      <c r="D216" t="s">
        <v>12</v>
      </c>
      <c r="E216" t="str">
        <f>tblData[[#This Row],[Company]]&amp;"|"&amp;tblData[[#This Row],[Line item as reported]]</f>
        <v>Metro|Cost of sales</v>
      </c>
      <c r="F216" t="str">
        <f>_xlfn.XLOOKUP(tblData[[#This Row],[Map key]],tblMap[Map key],tblMap[Standard line item],"UNMAPPED")</f>
        <v>Cost of sales</v>
      </c>
      <c r="G216" s="9">
        <v>17636.400000000001</v>
      </c>
      <c r="H216" t="s">
        <v>117</v>
      </c>
      <c r="I216">
        <v>47</v>
      </c>
    </row>
    <row r="217" spans="1:9" x14ac:dyDescent="0.35">
      <c r="A217" t="s">
        <v>42</v>
      </c>
      <c r="B217">
        <v>2025</v>
      </c>
      <c r="C217" t="s">
        <v>10</v>
      </c>
      <c r="D217" t="s">
        <v>58</v>
      </c>
      <c r="E217" t="str">
        <f>tblData[[#This Row],[Company]]&amp;"|"&amp;tblData[[#This Row],[Line item as reported]]</f>
        <v>Metro|Net financial costs</v>
      </c>
      <c r="F217" t="str">
        <f>_xlfn.XLOOKUP(tblData[[#This Row],[Map key]],tblMap[Map key],tblMap[Standard line item],"UNMAPPED")</f>
        <v>Net finance costs</v>
      </c>
      <c r="G217" s="9">
        <v>143.80000000000001</v>
      </c>
      <c r="H217" t="s">
        <v>117</v>
      </c>
      <c r="I217">
        <v>47</v>
      </c>
    </row>
    <row r="218" spans="1:9" x14ac:dyDescent="0.35">
      <c r="A218" t="s">
        <v>42</v>
      </c>
      <c r="B218">
        <v>2025</v>
      </c>
      <c r="C218" t="s">
        <v>10</v>
      </c>
      <c r="D218" t="s">
        <v>15</v>
      </c>
      <c r="E218" t="str">
        <f>tblData[[#This Row],[Company]]&amp;"|"&amp;tblData[[#This Row],[Line item as reported]]</f>
        <v>Metro|Earnings before income taxes</v>
      </c>
      <c r="F218" t="str">
        <f>_xlfn.XLOOKUP(tblData[[#This Row],[Map key]],tblMap[Map key],tblMap[Standard line item],"UNMAPPED")</f>
        <v>Earnings before income taxes</v>
      </c>
      <c r="G218" s="9">
        <v>1320.2</v>
      </c>
      <c r="H218" t="s">
        <v>117</v>
      </c>
      <c r="I218">
        <v>47</v>
      </c>
    </row>
    <row r="219" spans="1:9" x14ac:dyDescent="0.35">
      <c r="A219" t="s">
        <v>42</v>
      </c>
      <c r="B219">
        <v>2025</v>
      </c>
      <c r="C219" t="s">
        <v>10</v>
      </c>
      <c r="D219" t="s">
        <v>16</v>
      </c>
      <c r="E219" t="str">
        <f>tblData[[#This Row],[Company]]&amp;"|"&amp;tblData[[#This Row],[Line item as reported]]</f>
        <v>Metro|Income taxes</v>
      </c>
      <c r="F219" t="str">
        <f>_xlfn.XLOOKUP(tblData[[#This Row],[Map key]],tblMap[Map key],tblMap[Standard line item],"UNMAPPED")</f>
        <v>Income taxes</v>
      </c>
      <c r="G219" s="9">
        <v>300.7</v>
      </c>
      <c r="H219" t="s">
        <v>117</v>
      </c>
      <c r="I219">
        <v>47</v>
      </c>
    </row>
    <row r="220" spans="1:9" x14ac:dyDescent="0.35">
      <c r="A220" t="s">
        <v>42</v>
      </c>
      <c r="B220">
        <v>2025</v>
      </c>
      <c r="C220" t="s">
        <v>10</v>
      </c>
      <c r="D220" t="s">
        <v>17</v>
      </c>
      <c r="E220" t="str">
        <f>tblData[[#This Row],[Company]]&amp;"|"&amp;tblData[[#This Row],[Line item as reported]]</f>
        <v>Metro|No discontinued operations</v>
      </c>
      <c r="F220" t="str">
        <f>_xlfn.XLOOKUP(tblData[[#This Row],[Map key]],tblMap[Map key],tblMap[Standard line item],"UNMAPPED")</f>
        <v>Net earnings from discontinued operations</v>
      </c>
      <c r="G220" s="9">
        <v>0</v>
      </c>
      <c r="H220" t="s">
        <v>117</v>
      </c>
      <c r="I220">
        <v>47</v>
      </c>
    </row>
    <row r="221" spans="1:9" x14ac:dyDescent="0.35">
      <c r="A221" t="s">
        <v>42</v>
      </c>
      <c r="B221">
        <v>2025</v>
      </c>
      <c r="C221" t="s">
        <v>10</v>
      </c>
      <c r="D221" t="s">
        <v>20</v>
      </c>
      <c r="E221" t="str">
        <f>tblData[[#This Row],[Company]]&amp;"|"&amp;tblData[[#This Row],[Line item as reported]]</f>
        <v>Metro|Net earnings</v>
      </c>
      <c r="F221" t="str">
        <f>_xlfn.XLOOKUP(tblData[[#This Row],[Map key]],tblMap[Map key],tblMap[Standard line item],"UNMAPPED")</f>
        <v>Net earnings</v>
      </c>
      <c r="G221" s="9">
        <v>1019.5</v>
      </c>
      <c r="H221" t="s">
        <v>117</v>
      </c>
      <c r="I221">
        <v>47</v>
      </c>
    </row>
    <row r="222" spans="1:9" x14ac:dyDescent="0.35">
      <c r="A222" t="s">
        <v>42</v>
      </c>
      <c r="B222">
        <v>2025</v>
      </c>
      <c r="C222" t="s">
        <v>10</v>
      </c>
      <c r="D222" t="s">
        <v>47</v>
      </c>
      <c r="E222" t="str">
        <f>tblData[[#This Row],[Company]]&amp;"|"&amp;tblData[[#This Row],[Line item as reported]]</f>
        <v>Metro|Equity holders of the parent</v>
      </c>
      <c r="F222" t="str">
        <f>_xlfn.XLOOKUP(tblData[[#This Row],[Map key]],tblMap[Map key],tblMap[Standard line item],"UNMAPPED")</f>
        <v>Net earnings attributable to shareholders</v>
      </c>
      <c r="G222" s="9">
        <v>1017</v>
      </c>
      <c r="H222" t="s">
        <v>117</v>
      </c>
      <c r="I222">
        <v>47</v>
      </c>
    </row>
    <row r="223" spans="1:9" x14ac:dyDescent="0.35">
      <c r="A223" t="s">
        <v>42</v>
      </c>
      <c r="B223">
        <v>2025</v>
      </c>
      <c r="C223" t="s">
        <v>24</v>
      </c>
      <c r="D223" t="s">
        <v>23</v>
      </c>
      <c r="E223" t="str">
        <f>tblData[[#This Row],[Company]]&amp;"|"&amp;tblData[[#This Row],[Line item as reported]]</f>
        <v>Metro|Inventories</v>
      </c>
      <c r="F223" t="str">
        <f>_xlfn.XLOOKUP(tblData[[#This Row],[Map key]],tblMap[Map key],tblMap[Standard line item],"UNMAPPED")</f>
        <v>Inventories</v>
      </c>
      <c r="G223" s="9">
        <v>1604.3</v>
      </c>
      <c r="H223" t="s">
        <v>117</v>
      </c>
      <c r="I223">
        <v>49</v>
      </c>
    </row>
    <row r="224" spans="1:9" x14ac:dyDescent="0.35">
      <c r="A224" t="s">
        <v>42</v>
      </c>
      <c r="B224">
        <v>2025</v>
      </c>
      <c r="C224" t="s">
        <v>24</v>
      </c>
      <c r="D224" t="s">
        <v>48</v>
      </c>
      <c r="E224" t="str">
        <f>tblData[[#This Row],[Company]]&amp;"|"&amp;tblData[[#This Row],[Line item as reported]]</f>
        <v>Metro|Current assets (unlabelled subtotal)</v>
      </c>
      <c r="F224" t="str">
        <f>_xlfn.XLOOKUP(tblData[[#This Row],[Map key]],tblMap[Map key],tblMap[Standard line item],"UNMAPPED")</f>
        <v>Total current assets</v>
      </c>
      <c r="G224" s="9">
        <v>2661</v>
      </c>
      <c r="H224" t="s">
        <v>117</v>
      </c>
      <c r="I224">
        <v>49</v>
      </c>
    </row>
    <row r="225" spans="1:9" x14ac:dyDescent="0.35">
      <c r="A225" t="s">
        <v>42</v>
      </c>
      <c r="B225">
        <v>2025</v>
      </c>
      <c r="C225" t="s">
        <v>24</v>
      </c>
      <c r="D225" t="s">
        <v>49</v>
      </c>
      <c r="E225" t="str">
        <f>tblData[[#This Row],[Company]]&amp;"|"&amp;tblData[[#This Row],[Line item as reported]]</f>
        <v>Metro|Total assets (unlabelled subtotal)</v>
      </c>
      <c r="F225" t="str">
        <f>_xlfn.XLOOKUP(tblData[[#This Row],[Map key]],tblMap[Map key],tblMap[Standard line item],"UNMAPPED")</f>
        <v>Total assets</v>
      </c>
      <c r="G225" s="9">
        <v>14539.4</v>
      </c>
      <c r="H225" t="s">
        <v>117</v>
      </c>
      <c r="I225">
        <v>49</v>
      </c>
    </row>
    <row r="226" spans="1:9" x14ac:dyDescent="0.35">
      <c r="A226" t="s">
        <v>42</v>
      </c>
      <c r="B226">
        <v>2025</v>
      </c>
      <c r="C226" t="s">
        <v>24</v>
      </c>
      <c r="D226" t="s">
        <v>50</v>
      </c>
      <c r="E226" t="str">
        <f>tblData[[#This Row],[Company]]&amp;"|"&amp;tblData[[#This Row],[Line item as reported]]</f>
        <v>Metro|Current liabilities (unlabelled subtotal)</v>
      </c>
      <c r="F226" t="str">
        <f>_xlfn.XLOOKUP(tblData[[#This Row],[Map key]],tblMap[Map key],tblMap[Standard line item],"UNMAPPED")</f>
        <v>Total current liabilities</v>
      </c>
      <c r="G226" s="9">
        <v>2053.8000000000002</v>
      </c>
      <c r="H226" t="s">
        <v>117</v>
      </c>
      <c r="I226">
        <v>49</v>
      </c>
    </row>
    <row r="227" spans="1:9" x14ac:dyDescent="0.35">
      <c r="A227" t="s">
        <v>42</v>
      </c>
      <c r="B227">
        <v>2025</v>
      </c>
      <c r="C227" t="s">
        <v>24</v>
      </c>
      <c r="D227" t="s">
        <v>51</v>
      </c>
      <c r="E227" t="str">
        <f>tblData[[#This Row],[Company]]&amp;"|"&amp;tblData[[#This Row],[Line item as reported]]</f>
        <v>Metro|Total liabilities (unlabelled subtotal)</v>
      </c>
      <c r="F227" t="str">
        <f>_xlfn.XLOOKUP(tblData[[#This Row],[Map key]],tblMap[Map key],tblMap[Standard line item],"UNMAPPED")</f>
        <v>Total liabilities</v>
      </c>
      <c r="G227" s="9">
        <v>7494.3</v>
      </c>
      <c r="H227" t="s">
        <v>117</v>
      </c>
      <c r="I227">
        <v>49</v>
      </c>
    </row>
    <row r="228" spans="1:9" x14ac:dyDescent="0.35">
      <c r="A228" t="s">
        <v>42</v>
      </c>
      <c r="B228">
        <v>2025</v>
      </c>
      <c r="C228" t="s">
        <v>24</v>
      </c>
      <c r="D228" t="s">
        <v>52</v>
      </c>
      <c r="E228" t="str">
        <f>tblData[[#This Row],[Company]]&amp;"|"&amp;tblData[[#This Row],[Line item as reported]]</f>
        <v>Metro|Total equity (unlabelled subtotal)</v>
      </c>
      <c r="F228" t="str">
        <f>_xlfn.XLOOKUP(tblData[[#This Row],[Map key]],tblMap[Map key],tblMap[Standard line item],"UNMAPPED")</f>
        <v>Total equity</v>
      </c>
      <c r="G228" s="9">
        <v>7045.1</v>
      </c>
      <c r="H228" t="s">
        <v>117</v>
      </c>
      <c r="I228">
        <v>49</v>
      </c>
    </row>
    <row r="229" spans="1:9" x14ac:dyDescent="0.35">
      <c r="A229" t="s">
        <v>42</v>
      </c>
      <c r="B229">
        <v>2025</v>
      </c>
      <c r="C229" t="s">
        <v>24</v>
      </c>
      <c r="D229" t="s">
        <v>53</v>
      </c>
      <c r="E229" t="str">
        <f>tblData[[#This Row],[Company]]&amp;"|"&amp;tblData[[#This Row],[Line item as reported]]</f>
        <v>Metro|Attributable to equity holders of the parent</v>
      </c>
      <c r="F229" t="str">
        <f>_xlfn.XLOOKUP(tblData[[#This Row],[Map key]],tblMap[Map key],tblMap[Standard line item],"UNMAPPED")</f>
        <v>Equity attributable to shareholders</v>
      </c>
      <c r="G229" s="9">
        <v>7026.7</v>
      </c>
      <c r="H229" t="s">
        <v>117</v>
      </c>
      <c r="I229">
        <v>49</v>
      </c>
    </row>
    <row r="230" spans="1:9" x14ac:dyDescent="0.35">
      <c r="A230" t="s">
        <v>42</v>
      </c>
      <c r="B230">
        <v>2025</v>
      </c>
      <c r="C230" t="s">
        <v>34</v>
      </c>
      <c r="D230" t="s">
        <v>54</v>
      </c>
      <c r="E230" t="str">
        <f>tblData[[#This Row],[Company]]&amp;"|"&amp;tblData[[#This Row],[Line item as reported]]</f>
        <v>Metro|Operating activities (unlabelled subtotal)</v>
      </c>
      <c r="F230" t="str">
        <f>_xlfn.XLOOKUP(tblData[[#This Row],[Map key]],tblMap[Map key],tblMap[Standard line item],"UNMAPPED")</f>
        <v>Cash from operating activities</v>
      </c>
      <c r="G230" s="9">
        <v>1724.9</v>
      </c>
      <c r="H230" t="s">
        <v>117</v>
      </c>
      <c r="I230">
        <v>51</v>
      </c>
    </row>
    <row r="231" spans="1:9" x14ac:dyDescent="0.35">
      <c r="A231" t="s">
        <v>42</v>
      </c>
      <c r="B231">
        <v>2025</v>
      </c>
      <c r="C231" t="s">
        <v>34</v>
      </c>
      <c r="D231" t="s">
        <v>59</v>
      </c>
      <c r="E231" t="str">
        <f>tblData[[#This Row],[Company]]&amp;"|"&amp;tblData[[#This Row],[Line item as reported]]</f>
        <v>Metro|Additions to fixed assets</v>
      </c>
      <c r="F231" t="str">
        <f>_xlfn.XLOOKUP(tblData[[#This Row],[Map key]],tblMap[Map key],tblMap[Standard line item],"UNMAPPED")</f>
        <v>Purchases of fixed assets</v>
      </c>
      <c r="G231" s="9">
        <v>452.5</v>
      </c>
      <c r="H231" t="s">
        <v>117</v>
      </c>
      <c r="I231">
        <v>51</v>
      </c>
    </row>
    <row r="232" spans="1:9" x14ac:dyDescent="0.35">
      <c r="A232" t="s">
        <v>42</v>
      </c>
      <c r="B232">
        <v>2025</v>
      </c>
      <c r="C232" t="s">
        <v>34</v>
      </c>
      <c r="D232" t="s">
        <v>60</v>
      </c>
      <c r="E232" t="str">
        <f>tblData[[#This Row],[Company]]&amp;"|"&amp;tblData[[#This Row],[Line item as reported]]</f>
        <v>Metro|Additions to intangible assets and goodwill</v>
      </c>
      <c r="F232" t="str">
        <f>_xlfn.XLOOKUP(tblData[[#This Row],[Map key]],tblMap[Map key],tblMap[Standard line item],"UNMAPPED")</f>
        <v>Purchases of intangible assets</v>
      </c>
      <c r="G232" s="9">
        <v>58.1</v>
      </c>
      <c r="H232" t="s">
        <v>117</v>
      </c>
      <c r="I232">
        <v>51</v>
      </c>
    </row>
    <row r="233" spans="1:9" x14ac:dyDescent="0.35">
      <c r="A233" t="s">
        <v>42</v>
      </c>
      <c r="B233">
        <v>2025</v>
      </c>
      <c r="C233" t="s">
        <v>34</v>
      </c>
      <c r="D233" t="s">
        <v>57</v>
      </c>
      <c r="E233" t="str">
        <f>tblData[[#This Row],[Company]]&amp;"|"&amp;tblData[[#This Row],[Line item as reported]]</f>
        <v>Metro|Payment of lease liabilities (principal)</v>
      </c>
      <c r="F233" t="str">
        <f>_xlfn.XLOOKUP(tblData[[#This Row],[Map key]],tblMap[Map key],tblMap[Standard line item],"UNMAPPED")</f>
        <v>Lease principal payments</v>
      </c>
      <c r="G233" s="9">
        <v>281.7</v>
      </c>
      <c r="H233" t="s">
        <v>117</v>
      </c>
      <c r="I233">
        <v>51</v>
      </c>
    </row>
    <row r="234" spans="1:9" x14ac:dyDescent="0.35">
      <c r="A234" t="s">
        <v>61</v>
      </c>
      <c r="B234">
        <v>2020</v>
      </c>
      <c r="C234" t="s">
        <v>10</v>
      </c>
      <c r="D234" t="s">
        <v>43</v>
      </c>
      <c r="E234" t="str">
        <f>tblData[[#This Row],[Company]]&amp;"|"&amp;tblData[[#This Row],[Line item as reported]]</f>
        <v>Empire|Sales</v>
      </c>
      <c r="F234" t="str">
        <f>_xlfn.XLOOKUP(tblData[[#This Row],[Map key]],tblMap[Map key],tblMap[Standard line item],"UNMAPPED")</f>
        <v>Revenue</v>
      </c>
      <c r="G234" s="9">
        <v>26588.2</v>
      </c>
      <c r="H234" t="s">
        <v>118</v>
      </c>
      <c r="I234">
        <v>51</v>
      </c>
    </row>
    <row r="235" spans="1:9" x14ac:dyDescent="0.35">
      <c r="A235" t="s">
        <v>61</v>
      </c>
      <c r="B235">
        <v>2020</v>
      </c>
      <c r="C235" t="s">
        <v>10</v>
      </c>
      <c r="D235" t="s">
        <v>12</v>
      </c>
      <c r="E235" t="str">
        <f>tblData[[#This Row],[Company]]&amp;"|"&amp;tblData[[#This Row],[Line item as reported]]</f>
        <v>Empire|Cost of sales</v>
      </c>
      <c r="F235" t="str">
        <f>_xlfn.XLOOKUP(tblData[[#This Row],[Map key]],tblMap[Map key],tblMap[Standard line item],"UNMAPPED")</f>
        <v>Cost of sales</v>
      </c>
      <c r="G235" s="9">
        <v>19954.900000000001</v>
      </c>
      <c r="H235" t="s">
        <v>118</v>
      </c>
      <c r="I235">
        <v>51</v>
      </c>
    </row>
    <row r="236" spans="1:9" x14ac:dyDescent="0.35">
      <c r="A236" t="s">
        <v>61</v>
      </c>
      <c r="B236">
        <v>2020</v>
      </c>
      <c r="C236" t="s">
        <v>10</v>
      </c>
      <c r="D236" t="s">
        <v>62</v>
      </c>
      <c r="E236" t="str">
        <f>tblData[[#This Row],[Company]]&amp;"|"&amp;tblData[[#This Row],[Line item as reported]]</f>
        <v>Empire|Finance costs, net</v>
      </c>
      <c r="F236" t="str">
        <f>_xlfn.XLOOKUP(tblData[[#This Row],[Map key]],tblMap[Map key],tblMap[Standard line item],"UNMAPPED")</f>
        <v>Net finance costs</v>
      </c>
      <c r="G236" s="9">
        <v>279.10000000000002</v>
      </c>
      <c r="H236" t="s">
        <v>118</v>
      </c>
      <c r="I236">
        <v>51</v>
      </c>
    </row>
    <row r="237" spans="1:9" x14ac:dyDescent="0.35">
      <c r="A237" t="s">
        <v>61</v>
      </c>
      <c r="B237">
        <v>2020</v>
      </c>
      <c r="C237" t="s">
        <v>10</v>
      </c>
      <c r="D237" t="s">
        <v>15</v>
      </c>
      <c r="E237" t="str">
        <f>tblData[[#This Row],[Company]]&amp;"|"&amp;tblData[[#This Row],[Line item as reported]]</f>
        <v>Empire|Earnings before income taxes</v>
      </c>
      <c r="F237" t="str">
        <f>_xlfn.XLOOKUP(tblData[[#This Row],[Map key]],tblMap[Map key],tblMap[Standard line item],"UNMAPPED")</f>
        <v>Earnings before income taxes</v>
      </c>
      <c r="G237" s="9">
        <v>832.7</v>
      </c>
      <c r="H237" t="s">
        <v>118</v>
      </c>
      <c r="I237">
        <v>51</v>
      </c>
    </row>
    <row r="238" spans="1:9" x14ac:dyDescent="0.35">
      <c r="A238" t="s">
        <v>61</v>
      </c>
      <c r="B238">
        <v>2020</v>
      </c>
      <c r="C238" t="s">
        <v>10</v>
      </c>
      <c r="D238" t="s">
        <v>63</v>
      </c>
      <c r="E238" t="str">
        <f>tblData[[#This Row],[Company]]&amp;"|"&amp;tblData[[#This Row],[Line item as reported]]</f>
        <v>Empire|Income tax expense</v>
      </c>
      <c r="F238" t="str">
        <f>_xlfn.XLOOKUP(tblData[[#This Row],[Map key]],tblMap[Map key],tblMap[Standard line item],"UNMAPPED")</f>
        <v>Income taxes</v>
      </c>
      <c r="G238" s="9">
        <v>219.9</v>
      </c>
      <c r="H238" t="s">
        <v>118</v>
      </c>
      <c r="I238">
        <v>51</v>
      </c>
    </row>
    <row r="239" spans="1:9" x14ac:dyDescent="0.35">
      <c r="A239" t="s">
        <v>61</v>
      </c>
      <c r="B239">
        <v>2020</v>
      </c>
      <c r="C239" t="s">
        <v>10</v>
      </c>
      <c r="D239" t="s">
        <v>17</v>
      </c>
      <c r="E239" t="str">
        <f>tblData[[#This Row],[Company]]&amp;"|"&amp;tblData[[#This Row],[Line item as reported]]</f>
        <v>Empire|No discontinued operations</v>
      </c>
      <c r="F239" t="str">
        <f>_xlfn.XLOOKUP(tblData[[#This Row],[Map key]],tblMap[Map key],tblMap[Standard line item],"UNMAPPED")</f>
        <v>Net earnings from discontinued operations</v>
      </c>
      <c r="G239" s="9">
        <v>0</v>
      </c>
      <c r="H239" t="s">
        <v>118</v>
      </c>
      <c r="I239">
        <v>51</v>
      </c>
    </row>
    <row r="240" spans="1:9" x14ac:dyDescent="0.35">
      <c r="A240" t="s">
        <v>61</v>
      </c>
      <c r="B240">
        <v>2020</v>
      </c>
      <c r="C240" t="s">
        <v>10</v>
      </c>
      <c r="D240" t="s">
        <v>20</v>
      </c>
      <c r="E240" t="str">
        <f>tblData[[#This Row],[Company]]&amp;"|"&amp;tblData[[#This Row],[Line item as reported]]</f>
        <v>Empire|Net earnings</v>
      </c>
      <c r="F240" t="str">
        <f>_xlfn.XLOOKUP(tblData[[#This Row],[Map key]],tblMap[Map key],tblMap[Standard line item],"UNMAPPED")</f>
        <v>Net earnings</v>
      </c>
      <c r="G240" s="9">
        <v>612.79999999999995</v>
      </c>
      <c r="H240" t="s">
        <v>118</v>
      </c>
      <c r="I240">
        <v>51</v>
      </c>
    </row>
    <row r="241" spans="1:9" x14ac:dyDescent="0.35">
      <c r="A241" t="s">
        <v>61</v>
      </c>
      <c r="B241">
        <v>2020</v>
      </c>
      <c r="C241" t="s">
        <v>10</v>
      </c>
      <c r="D241" t="s">
        <v>64</v>
      </c>
      <c r="E241" t="str">
        <f>tblData[[#This Row],[Company]]&amp;"|"&amp;tblData[[#This Row],[Line item as reported]]</f>
        <v>Empire|Owners of the Company</v>
      </c>
      <c r="F241" t="str">
        <f>_xlfn.XLOOKUP(tblData[[#This Row],[Map key]],tblMap[Map key],tblMap[Standard line item],"UNMAPPED")</f>
        <v>Net earnings attributable to shareholders</v>
      </c>
      <c r="G241" s="9">
        <v>583.5</v>
      </c>
      <c r="H241" t="s">
        <v>118</v>
      </c>
      <c r="I241">
        <v>51</v>
      </c>
    </row>
    <row r="242" spans="1:9" x14ac:dyDescent="0.35">
      <c r="A242" t="s">
        <v>61</v>
      </c>
      <c r="B242">
        <v>2020</v>
      </c>
      <c r="C242" t="s">
        <v>24</v>
      </c>
      <c r="D242" t="s">
        <v>23</v>
      </c>
      <c r="E242" t="str">
        <f>tblData[[#This Row],[Company]]&amp;"|"&amp;tblData[[#This Row],[Line item as reported]]</f>
        <v>Empire|Inventories</v>
      </c>
      <c r="F242" t="str">
        <f>_xlfn.XLOOKUP(tblData[[#This Row],[Map key]],tblMap[Map key],tblMap[Standard line item],"UNMAPPED")</f>
        <v>Inventories</v>
      </c>
      <c r="G242" s="9">
        <v>1489.4</v>
      </c>
      <c r="H242" t="s">
        <v>118</v>
      </c>
      <c r="I242">
        <v>50</v>
      </c>
    </row>
    <row r="243" spans="1:9" x14ac:dyDescent="0.35">
      <c r="A243" t="s">
        <v>61</v>
      </c>
      <c r="B243">
        <v>2020</v>
      </c>
      <c r="C243" t="s">
        <v>24</v>
      </c>
      <c r="D243" t="s">
        <v>48</v>
      </c>
      <c r="E243" t="str">
        <f>tblData[[#This Row],[Company]]&amp;"|"&amp;tblData[[#This Row],[Line item as reported]]</f>
        <v>Empire|Current assets (unlabelled subtotal)</v>
      </c>
      <c r="F243" t="str">
        <f>_xlfn.XLOOKUP(tblData[[#This Row],[Map key]],tblMap[Map key],tblMap[Standard line item],"UNMAPPED")</f>
        <v>Total current assets</v>
      </c>
      <c r="G243" s="9">
        <v>3255.5</v>
      </c>
      <c r="H243" t="s">
        <v>118</v>
      </c>
      <c r="I243">
        <v>50</v>
      </c>
    </row>
    <row r="244" spans="1:9" x14ac:dyDescent="0.35">
      <c r="A244" t="s">
        <v>61</v>
      </c>
      <c r="B244">
        <v>2020</v>
      </c>
      <c r="C244" t="s">
        <v>24</v>
      </c>
      <c r="D244" t="s">
        <v>49</v>
      </c>
      <c r="E244" t="str">
        <f>tblData[[#This Row],[Company]]&amp;"|"&amp;tblData[[#This Row],[Line item as reported]]</f>
        <v>Empire|Total assets (unlabelled subtotal)</v>
      </c>
      <c r="F244" t="str">
        <f>_xlfn.XLOOKUP(tblData[[#This Row],[Map key]],tblMap[Map key],tblMap[Standard line item],"UNMAPPED")</f>
        <v>Total assets</v>
      </c>
      <c r="G244" s="9">
        <v>14632.9</v>
      </c>
      <c r="H244" t="s">
        <v>118</v>
      </c>
      <c r="I244">
        <v>50</v>
      </c>
    </row>
    <row r="245" spans="1:9" x14ac:dyDescent="0.35">
      <c r="A245" t="s">
        <v>61</v>
      </c>
      <c r="B245">
        <v>2020</v>
      </c>
      <c r="C245" t="s">
        <v>24</v>
      </c>
      <c r="D245" t="s">
        <v>50</v>
      </c>
      <c r="E245" t="str">
        <f>tblData[[#This Row],[Company]]&amp;"|"&amp;tblData[[#This Row],[Line item as reported]]</f>
        <v>Empire|Current liabilities (unlabelled subtotal)</v>
      </c>
      <c r="F245" t="str">
        <f>_xlfn.XLOOKUP(tblData[[#This Row],[Map key]],tblMap[Map key],tblMap[Standard line item],"UNMAPPED")</f>
        <v>Total current liabilities</v>
      </c>
      <c r="G245" s="9">
        <v>4060</v>
      </c>
      <c r="H245" t="s">
        <v>118</v>
      </c>
      <c r="I245">
        <v>50</v>
      </c>
    </row>
    <row r="246" spans="1:9" x14ac:dyDescent="0.35">
      <c r="A246" t="s">
        <v>61</v>
      </c>
      <c r="B246">
        <v>2020</v>
      </c>
      <c r="C246" t="s">
        <v>24</v>
      </c>
      <c r="D246" t="s">
        <v>51</v>
      </c>
      <c r="E246" t="str">
        <f>tblData[[#This Row],[Company]]&amp;"|"&amp;tblData[[#This Row],[Line item as reported]]</f>
        <v>Empire|Total liabilities (unlabelled subtotal)</v>
      </c>
      <c r="F246" t="str">
        <f>_xlfn.XLOOKUP(tblData[[#This Row],[Map key]],tblMap[Map key],tblMap[Standard line item],"UNMAPPED")</f>
        <v>Total liabilities</v>
      </c>
      <c r="G246" s="9">
        <v>10619</v>
      </c>
      <c r="H246" t="s">
        <v>118</v>
      </c>
      <c r="I246">
        <v>50</v>
      </c>
    </row>
    <row r="247" spans="1:9" x14ac:dyDescent="0.35">
      <c r="A247" t="s">
        <v>61</v>
      </c>
      <c r="B247">
        <v>2020</v>
      </c>
      <c r="C247" t="s">
        <v>24</v>
      </c>
      <c r="D247" t="s">
        <v>52</v>
      </c>
      <c r="E247" t="str">
        <f>tblData[[#This Row],[Company]]&amp;"|"&amp;tblData[[#This Row],[Line item as reported]]</f>
        <v>Empire|Total equity (unlabelled subtotal)</v>
      </c>
      <c r="F247" t="str">
        <f>_xlfn.XLOOKUP(tblData[[#This Row],[Map key]],tblMap[Map key],tblMap[Standard line item],"UNMAPPED")</f>
        <v>Total equity</v>
      </c>
      <c r="G247" s="9">
        <v>4013.9</v>
      </c>
      <c r="H247" t="s">
        <v>118</v>
      </c>
      <c r="I247">
        <v>50</v>
      </c>
    </row>
    <row r="248" spans="1:9" x14ac:dyDescent="0.35">
      <c r="A248" t="s">
        <v>61</v>
      </c>
      <c r="B248">
        <v>2020</v>
      </c>
      <c r="C248" t="s">
        <v>24</v>
      </c>
      <c r="D248" t="s">
        <v>65</v>
      </c>
      <c r="E248" t="str">
        <f>tblData[[#This Row],[Company]]&amp;"|"&amp;tblData[[#This Row],[Line item as reported]]</f>
        <v>Empire|Shareholders' equity before non-controlling interest (unlabelled subtotal)</v>
      </c>
      <c r="F248" t="str">
        <f>_xlfn.XLOOKUP(tblData[[#This Row],[Map key]],tblMap[Map key],tblMap[Standard line item],"UNMAPPED")</f>
        <v>Equity attributable to shareholders</v>
      </c>
      <c r="G248" s="9">
        <v>3924.6</v>
      </c>
      <c r="H248" t="s">
        <v>118</v>
      </c>
      <c r="I248">
        <v>50</v>
      </c>
    </row>
    <row r="249" spans="1:9" x14ac:dyDescent="0.35">
      <c r="A249" t="s">
        <v>61</v>
      </c>
      <c r="B249">
        <v>2020</v>
      </c>
      <c r="C249" t="s">
        <v>34</v>
      </c>
      <c r="D249" t="s">
        <v>32</v>
      </c>
      <c r="E249" t="str">
        <f>tblData[[#This Row],[Company]]&amp;"|"&amp;tblData[[#This Row],[Line item as reported]]</f>
        <v>Empire|Cash flows from operating activities</v>
      </c>
      <c r="F249" t="str">
        <f>_xlfn.XLOOKUP(tblData[[#This Row],[Map key]],tblMap[Map key],tblMap[Standard line item],"UNMAPPED")</f>
        <v>Cash from operating activities</v>
      </c>
      <c r="G249" s="9">
        <v>2089.4</v>
      </c>
      <c r="H249" t="s">
        <v>118</v>
      </c>
      <c r="I249">
        <v>54</v>
      </c>
    </row>
    <row r="250" spans="1:9" x14ac:dyDescent="0.35">
      <c r="A250" t="s">
        <v>61</v>
      </c>
      <c r="B250">
        <v>2020</v>
      </c>
      <c r="C250" t="s">
        <v>34</v>
      </c>
      <c r="D250" t="s">
        <v>66</v>
      </c>
      <c r="E250" t="str">
        <f>tblData[[#This Row],[Company]]&amp;"|"&amp;tblData[[#This Row],[Line item as reported]]</f>
        <v>Empire|Property, equipment and investment property purchases</v>
      </c>
      <c r="F250" t="str">
        <f>_xlfn.XLOOKUP(tblData[[#This Row],[Map key]],tblMap[Map key],tblMap[Standard line item],"UNMAPPED")</f>
        <v>Purchases of fixed assets</v>
      </c>
      <c r="G250" s="9">
        <v>548.79999999999995</v>
      </c>
      <c r="H250" t="s">
        <v>118</v>
      </c>
      <c r="I250">
        <v>54</v>
      </c>
    </row>
    <row r="251" spans="1:9" x14ac:dyDescent="0.35">
      <c r="A251" t="s">
        <v>61</v>
      </c>
      <c r="B251">
        <v>2020</v>
      </c>
      <c r="C251" t="s">
        <v>34</v>
      </c>
      <c r="D251" t="s">
        <v>67</v>
      </c>
      <c r="E251" t="str">
        <f>tblData[[#This Row],[Company]]&amp;"|"&amp;tblData[[#This Row],[Line item as reported]]</f>
        <v>Empire|Additions to intangibles</v>
      </c>
      <c r="F251" t="str">
        <f>_xlfn.XLOOKUP(tblData[[#This Row],[Map key]],tblMap[Map key],tblMap[Standard line item],"UNMAPPED")</f>
        <v>Purchases of intangible assets</v>
      </c>
      <c r="G251" s="9">
        <v>69</v>
      </c>
      <c r="H251" t="s">
        <v>118</v>
      </c>
      <c r="I251">
        <v>54</v>
      </c>
    </row>
    <row r="252" spans="1:9" x14ac:dyDescent="0.35">
      <c r="A252" t="s">
        <v>61</v>
      </c>
      <c r="B252">
        <v>2020</v>
      </c>
      <c r="C252" t="s">
        <v>34</v>
      </c>
      <c r="D252" t="s">
        <v>68</v>
      </c>
      <c r="E252" t="str">
        <f>tblData[[#This Row],[Company]]&amp;"|"&amp;tblData[[#This Row],[Line item as reported]]</f>
        <v>Empire|Payments of lease liabilities (principal portion)</v>
      </c>
      <c r="F252" t="str">
        <f>_xlfn.XLOOKUP(tblData[[#This Row],[Map key]],tblMap[Map key],tblMap[Standard line item],"UNMAPPED")</f>
        <v>Lease principal payments</v>
      </c>
      <c r="G252" s="9">
        <v>392.1</v>
      </c>
      <c r="H252" t="s">
        <v>118</v>
      </c>
      <c r="I252">
        <v>54</v>
      </c>
    </row>
    <row r="253" spans="1:9" x14ac:dyDescent="0.35">
      <c r="A253" t="s">
        <v>61</v>
      </c>
      <c r="B253">
        <v>2021</v>
      </c>
      <c r="C253" t="s">
        <v>10</v>
      </c>
      <c r="D253" t="s">
        <v>43</v>
      </c>
      <c r="E253" t="str">
        <f>tblData[[#This Row],[Company]]&amp;"|"&amp;tblData[[#This Row],[Line item as reported]]</f>
        <v>Empire|Sales</v>
      </c>
      <c r="F253" t="str">
        <f>_xlfn.XLOOKUP(tblData[[#This Row],[Map key]],tblMap[Map key],tblMap[Standard line item],"UNMAPPED")</f>
        <v>Revenue</v>
      </c>
      <c r="G253" s="9">
        <v>28268.3</v>
      </c>
      <c r="H253" t="s">
        <v>118</v>
      </c>
      <c r="I253">
        <v>51</v>
      </c>
    </row>
    <row r="254" spans="1:9" x14ac:dyDescent="0.35">
      <c r="A254" t="s">
        <v>61</v>
      </c>
      <c r="B254">
        <v>2021</v>
      </c>
      <c r="C254" t="s">
        <v>10</v>
      </c>
      <c r="D254" t="s">
        <v>12</v>
      </c>
      <c r="E254" t="str">
        <f>tblData[[#This Row],[Company]]&amp;"|"&amp;tblData[[#This Row],[Line item as reported]]</f>
        <v>Empire|Cost of sales</v>
      </c>
      <c r="F254" t="str">
        <f>_xlfn.XLOOKUP(tblData[[#This Row],[Map key]],tblMap[Map key],tblMap[Standard line item],"UNMAPPED")</f>
        <v>Cost of sales</v>
      </c>
      <c r="G254" s="9">
        <v>21069</v>
      </c>
      <c r="H254" t="s">
        <v>118</v>
      </c>
      <c r="I254">
        <v>51</v>
      </c>
    </row>
    <row r="255" spans="1:9" x14ac:dyDescent="0.35">
      <c r="A255" t="s">
        <v>61</v>
      </c>
      <c r="B255">
        <v>2021</v>
      </c>
      <c r="C255" t="s">
        <v>10</v>
      </c>
      <c r="D255" t="s">
        <v>62</v>
      </c>
      <c r="E255" t="str">
        <f>tblData[[#This Row],[Company]]&amp;"|"&amp;tblData[[#This Row],[Line item as reported]]</f>
        <v>Empire|Finance costs, net</v>
      </c>
      <c r="F255" t="str">
        <f>_xlfn.XLOOKUP(tblData[[#This Row],[Map key]],tblMap[Map key],tblMap[Standard line item],"UNMAPPED")</f>
        <v>Net finance costs</v>
      </c>
      <c r="G255" s="9">
        <v>269.39999999999998</v>
      </c>
      <c r="H255" t="s">
        <v>118</v>
      </c>
      <c r="I255">
        <v>51</v>
      </c>
    </row>
    <row r="256" spans="1:9" x14ac:dyDescent="0.35">
      <c r="A256" t="s">
        <v>61</v>
      </c>
      <c r="B256">
        <v>2021</v>
      </c>
      <c r="C256" t="s">
        <v>10</v>
      </c>
      <c r="D256" t="s">
        <v>15</v>
      </c>
      <c r="E256" t="str">
        <f>tblData[[#This Row],[Company]]&amp;"|"&amp;tblData[[#This Row],[Line item as reported]]</f>
        <v>Empire|Earnings before income taxes</v>
      </c>
      <c r="F256" t="str">
        <f>_xlfn.XLOOKUP(tblData[[#This Row],[Map key]],tblMap[Map key],tblMap[Standard line item],"UNMAPPED")</f>
        <v>Earnings before income taxes</v>
      </c>
      <c r="G256" s="9">
        <v>1030.0999999999999</v>
      </c>
      <c r="H256" t="s">
        <v>118</v>
      </c>
      <c r="I256">
        <v>51</v>
      </c>
    </row>
    <row r="257" spans="1:9" x14ac:dyDescent="0.35">
      <c r="A257" t="s">
        <v>61</v>
      </c>
      <c r="B257">
        <v>2021</v>
      </c>
      <c r="C257" t="s">
        <v>10</v>
      </c>
      <c r="D257" t="s">
        <v>63</v>
      </c>
      <c r="E257" t="str">
        <f>tblData[[#This Row],[Company]]&amp;"|"&amp;tblData[[#This Row],[Line item as reported]]</f>
        <v>Empire|Income tax expense</v>
      </c>
      <c r="F257" t="str">
        <f>_xlfn.XLOOKUP(tblData[[#This Row],[Map key]],tblMap[Map key],tblMap[Standard line item],"UNMAPPED")</f>
        <v>Income taxes</v>
      </c>
      <c r="G257" s="9">
        <v>265.89999999999998</v>
      </c>
      <c r="H257" t="s">
        <v>118</v>
      </c>
      <c r="I257">
        <v>51</v>
      </c>
    </row>
    <row r="258" spans="1:9" x14ac:dyDescent="0.35">
      <c r="A258" t="s">
        <v>61</v>
      </c>
      <c r="B258">
        <v>2021</v>
      </c>
      <c r="C258" t="s">
        <v>10</v>
      </c>
      <c r="D258" t="s">
        <v>17</v>
      </c>
      <c r="E258" t="str">
        <f>tblData[[#This Row],[Company]]&amp;"|"&amp;tblData[[#This Row],[Line item as reported]]</f>
        <v>Empire|No discontinued operations</v>
      </c>
      <c r="F258" t="str">
        <f>_xlfn.XLOOKUP(tblData[[#This Row],[Map key]],tblMap[Map key],tblMap[Standard line item],"UNMAPPED")</f>
        <v>Net earnings from discontinued operations</v>
      </c>
      <c r="G258" s="9">
        <v>0</v>
      </c>
      <c r="H258" t="s">
        <v>118</v>
      </c>
      <c r="I258">
        <v>51</v>
      </c>
    </row>
    <row r="259" spans="1:9" x14ac:dyDescent="0.35">
      <c r="A259" t="s">
        <v>61</v>
      </c>
      <c r="B259">
        <v>2021</v>
      </c>
      <c r="C259" t="s">
        <v>10</v>
      </c>
      <c r="D259" t="s">
        <v>20</v>
      </c>
      <c r="E259" t="str">
        <f>tblData[[#This Row],[Company]]&amp;"|"&amp;tblData[[#This Row],[Line item as reported]]</f>
        <v>Empire|Net earnings</v>
      </c>
      <c r="F259" t="str">
        <f>_xlfn.XLOOKUP(tblData[[#This Row],[Map key]],tblMap[Map key],tblMap[Standard line item],"UNMAPPED")</f>
        <v>Net earnings</v>
      </c>
      <c r="G259" s="9">
        <v>764.2</v>
      </c>
      <c r="H259" t="s">
        <v>118</v>
      </c>
      <c r="I259">
        <v>51</v>
      </c>
    </row>
    <row r="260" spans="1:9" x14ac:dyDescent="0.35">
      <c r="A260" t="s">
        <v>61</v>
      </c>
      <c r="B260">
        <v>2021</v>
      </c>
      <c r="C260" t="s">
        <v>10</v>
      </c>
      <c r="D260" t="s">
        <v>64</v>
      </c>
      <c r="E260" t="str">
        <f>tblData[[#This Row],[Company]]&amp;"|"&amp;tblData[[#This Row],[Line item as reported]]</f>
        <v>Empire|Owners of the Company</v>
      </c>
      <c r="F260" t="str">
        <f>_xlfn.XLOOKUP(tblData[[#This Row],[Map key]],tblMap[Map key],tblMap[Standard line item],"UNMAPPED")</f>
        <v>Net earnings attributable to shareholders</v>
      </c>
      <c r="G260" s="9">
        <v>701.5</v>
      </c>
      <c r="H260" t="s">
        <v>118</v>
      </c>
      <c r="I260">
        <v>51</v>
      </c>
    </row>
    <row r="261" spans="1:9" x14ac:dyDescent="0.35">
      <c r="A261" t="s">
        <v>61</v>
      </c>
      <c r="B261">
        <v>2021</v>
      </c>
      <c r="C261" t="s">
        <v>24</v>
      </c>
      <c r="D261" t="s">
        <v>23</v>
      </c>
      <c r="E261" t="str">
        <f>tblData[[#This Row],[Company]]&amp;"|"&amp;tblData[[#This Row],[Line item as reported]]</f>
        <v>Empire|Inventories</v>
      </c>
      <c r="F261" t="str">
        <f>_xlfn.XLOOKUP(tblData[[#This Row],[Map key]],tblMap[Map key],tblMap[Standard line item],"UNMAPPED")</f>
        <v>Inventories</v>
      </c>
      <c r="G261" s="9">
        <v>1500.1</v>
      </c>
      <c r="H261" t="s">
        <v>118</v>
      </c>
      <c r="I261">
        <v>50</v>
      </c>
    </row>
    <row r="262" spans="1:9" x14ac:dyDescent="0.35">
      <c r="A262" t="s">
        <v>61</v>
      </c>
      <c r="B262">
        <v>2021</v>
      </c>
      <c r="C262" t="s">
        <v>24</v>
      </c>
      <c r="D262" t="s">
        <v>48</v>
      </c>
      <c r="E262" t="str">
        <f>tblData[[#This Row],[Company]]&amp;"|"&amp;tblData[[#This Row],[Line item as reported]]</f>
        <v>Empire|Current assets (unlabelled subtotal)</v>
      </c>
      <c r="F262" t="str">
        <f>_xlfn.XLOOKUP(tblData[[#This Row],[Map key]],tblMap[Map key],tblMap[Standard line item],"UNMAPPED")</f>
        <v>Total current assets</v>
      </c>
      <c r="G262" s="9">
        <v>3193.5</v>
      </c>
      <c r="H262" t="s">
        <v>118</v>
      </c>
      <c r="I262">
        <v>50</v>
      </c>
    </row>
    <row r="263" spans="1:9" x14ac:dyDescent="0.35">
      <c r="A263" t="s">
        <v>61</v>
      </c>
      <c r="B263">
        <v>2021</v>
      </c>
      <c r="C263" t="s">
        <v>24</v>
      </c>
      <c r="D263" t="s">
        <v>49</v>
      </c>
      <c r="E263" t="str">
        <f>tblData[[#This Row],[Company]]&amp;"|"&amp;tblData[[#This Row],[Line item as reported]]</f>
        <v>Empire|Total assets (unlabelled subtotal)</v>
      </c>
      <c r="F263" t="str">
        <f>_xlfn.XLOOKUP(tblData[[#This Row],[Map key]],tblMap[Map key],tblMap[Standard line item],"UNMAPPED")</f>
        <v>Total assets</v>
      </c>
      <c r="G263" s="9">
        <v>15173.9</v>
      </c>
      <c r="H263" t="s">
        <v>118</v>
      </c>
      <c r="I263">
        <v>50</v>
      </c>
    </row>
    <row r="264" spans="1:9" x14ac:dyDescent="0.35">
      <c r="A264" t="s">
        <v>61</v>
      </c>
      <c r="B264">
        <v>2021</v>
      </c>
      <c r="C264" t="s">
        <v>24</v>
      </c>
      <c r="D264" t="s">
        <v>50</v>
      </c>
      <c r="E264" t="str">
        <f>tblData[[#This Row],[Company]]&amp;"|"&amp;tblData[[#This Row],[Line item as reported]]</f>
        <v>Empire|Current liabilities (unlabelled subtotal)</v>
      </c>
      <c r="F264" t="str">
        <f>_xlfn.XLOOKUP(tblData[[#This Row],[Map key]],tblMap[Map key],tblMap[Standard line item],"UNMAPPED")</f>
        <v>Total current liabilities</v>
      </c>
      <c r="G264" s="9">
        <v>3488.2</v>
      </c>
      <c r="H264" t="s">
        <v>118</v>
      </c>
      <c r="I264">
        <v>50</v>
      </c>
    </row>
    <row r="265" spans="1:9" x14ac:dyDescent="0.35">
      <c r="A265" t="s">
        <v>61</v>
      </c>
      <c r="B265">
        <v>2021</v>
      </c>
      <c r="C265" t="s">
        <v>24</v>
      </c>
      <c r="D265" t="s">
        <v>51</v>
      </c>
      <c r="E265" t="str">
        <f>tblData[[#This Row],[Company]]&amp;"|"&amp;tblData[[#This Row],[Line item as reported]]</f>
        <v>Empire|Total liabilities (unlabelled subtotal)</v>
      </c>
      <c r="F265" t="str">
        <f>_xlfn.XLOOKUP(tblData[[#This Row],[Map key]],tblMap[Map key],tblMap[Standard line item],"UNMAPPED")</f>
        <v>Total liabilities</v>
      </c>
      <c r="G265" s="9">
        <v>10675.9</v>
      </c>
      <c r="H265" t="s">
        <v>118</v>
      </c>
      <c r="I265">
        <v>50</v>
      </c>
    </row>
    <row r="266" spans="1:9" x14ac:dyDescent="0.35">
      <c r="A266" t="s">
        <v>61</v>
      </c>
      <c r="B266">
        <v>2021</v>
      </c>
      <c r="C266" t="s">
        <v>24</v>
      </c>
      <c r="D266" t="s">
        <v>52</v>
      </c>
      <c r="E266" t="str">
        <f>tblData[[#This Row],[Company]]&amp;"|"&amp;tblData[[#This Row],[Line item as reported]]</f>
        <v>Empire|Total equity (unlabelled subtotal)</v>
      </c>
      <c r="F266" t="str">
        <f>_xlfn.XLOOKUP(tblData[[#This Row],[Map key]],tblMap[Map key],tblMap[Standard line item],"UNMAPPED")</f>
        <v>Total equity</v>
      </c>
      <c r="G266" s="9">
        <v>4498</v>
      </c>
      <c r="H266" t="s">
        <v>118</v>
      </c>
      <c r="I266">
        <v>50</v>
      </c>
    </row>
    <row r="267" spans="1:9" x14ac:dyDescent="0.35">
      <c r="A267" t="s">
        <v>61</v>
      </c>
      <c r="B267">
        <v>2021</v>
      </c>
      <c r="C267" t="s">
        <v>24</v>
      </c>
      <c r="D267" t="s">
        <v>65</v>
      </c>
      <c r="E267" t="str">
        <f>tblData[[#This Row],[Company]]&amp;"|"&amp;tblData[[#This Row],[Line item as reported]]</f>
        <v>Empire|Shareholders' equity before non-controlling interest (unlabelled subtotal)</v>
      </c>
      <c r="F267" t="str">
        <f>_xlfn.XLOOKUP(tblData[[#This Row],[Map key]],tblMap[Map key],tblMap[Standard line item],"UNMAPPED")</f>
        <v>Equity attributable to shareholders</v>
      </c>
      <c r="G267" s="9">
        <v>4372.7</v>
      </c>
      <c r="H267" t="s">
        <v>118</v>
      </c>
      <c r="I267">
        <v>50</v>
      </c>
    </row>
    <row r="268" spans="1:9" x14ac:dyDescent="0.35">
      <c r="A268" t="s">
        <v>61</v>
      </c>
      <c r="B268">
        <v>2021</v>
      </c>
      <c r="C268" t="s">
        <v>34</v>
      </c>
      <c r="D268" t="s">
        <v>32</v>
      </c>
      <c r="E268" t="str">
        <f>tblData[[#This Row],[Company]]&amp;"|"&amp;tblData[[#This Row],[Line item as reported]]</f>
        <v>Empire|Cash flows from operating activities</v>
      </c>
      <c r="F268" t="str">
        <f>_xlfn.XLOOKUP(tblData[[#This Row],[Map key]],tblMap[Map key],tblMap[Standard line item],"UNMAPPED")</f>
        <v>Cash from operating activities</v>
      </c>
      <c r="G268" s="9">
        <v>1859.6</v>
      </c>
      <c r="H268" t="s">
        <v>118</v>
      </c>
      <c r="I268">
        <v>54</v>
      </c>
    </row>
    <row r="269" spans="1:9" x14ac:dyDescent="0.35">
      <c r="A269" t="s">
        <v>61</v>
      </c>
      <c r="B269">
        <v>2021</v>
      </c>
      <c r="C269" t="s">
        <v>34</v>
      </c>
      <c r="D269" t="s">
        <v>66</v>
      </c>
      <c r="E269" t="str">
        <f>tblData[[#This Row],[Company]]&amp;"|"&amp;tblData[[#This Row],[Line item as reported]]</f>
        <v>Empire|Property, equipment and investment property purchases</v>
      </c>
      <c r="F269" t="str">
        <f>_xlfn.XLOOKUP(tblData[[#This Row],[Map key]],tblMap[Map key],tblMap[Standard line item],"UNMAPPED")</f>
        <v>Purchases of fixed assets</v>
      </c>
      <c r="G269" s="9">
        <v>566.29999999999995</v>
      </c>
      <c r="H269" t="s">
        <v>118</v>
      </c>
      <c r="I269">
        <v>54</v>
      </c>
    </row>
    <row r="270" spans="1:9" x14ac:dyDescent="0.35">
      <c r="A270" t="s">
        <v>61</v>
      </c>
      <c r="B270">
        <v>2021</v>
      </c>
      <c r="C270" t="s">
        <v>34</v>
      </c>
      <c r="D270" t="s">
        <v>67</v>
      </c>
      <c r="E270" t="str">
        <f>tblData[[#This Row],[Company]]&amp;"|"&amp;tblData[[#This Row],[Line item as reported]]</f>
        <v>Empire|Additions to intangibles</v>
      </c>
      <c r="F270" t="str">
        <f>_xlfn.XLOOKUP(tblData[[#This Row],[Map key]],tblMap[Map key],tblMap[Standard line item],"UNMAPPED")</f>
        <v>Purchases of intangible assets</v>
      </c>
      <c r="G270" s="9">
        <v>92.8</v>
      </c>
      <c r="H270" t="s">
        <v>118</v>
      </c>
      <c r="I270">
        <v>54</v>
      </c>
    </row>
    <row r="271" spans="1:9" x14ac:dyDescent="0.35">
      <c r="A271" t="s">
        <v>61</v>
      </c>
      <c r="B271">
        <v>2021</v>
      </c>
      <c r="C271" t="s">
        <v>34</v>
      </c>
      <c r="D271" t="s">
        <v>68</v>
      </c>
      <c r="E271" t="str">
        <f>tblData[[#This Row],[Company]]&amp;"|"&amp;tblData[[#This Row],[Line item as reported]]</f>
        <v>Empire|Payments of lease liabilities (principal portion)</v>
      </c>
      <c r="F271" t="str">
        <f>_xlfn.XLOOKUP(tblData[[#This Row],[Map key]],tblMap[Map key],tblMap[Standard line item],"UNMAPPED")</f>
        <v>Lease principal payments</v>
      </c>
      <c r="G271" s="9">
        <v>420.1</v>
      </c>
      <c r="H271" t="s">
        <v>118</v>
      </c>
      <c r="I271">
        <v>54</v>
      </c>
    </row>
    <row r="272" spans="1:9" x14ac:dyDescent="0.35">
      <c r="A272" t="s">
        <v>61</v>
      </c>
      <c r="B272">
        <v>2022</v>
      </c>
      <c r="C272" t="s">
        <v>10</v>
      </c>
      <c r="D272" t="s">
        <v>43</v>
      </c>
      <c r="E272" t="str">
        <f>tblData[[#This Row],[Company]]&amp;"|"&amp;tblData[[#This Row],[Line item as reported]]</f>
        <v>Empire|Sales</v>
      </c>
      <c r="F272" t="str">
        <f>_xlfn.XLOOKUP(tblData[[#This Row],[Map key]],tblMap[Map key],tblMap[Standard line item],"UNMAPPED")</f>
        <v>Revenue</v>
      </c>
      <c r="G272" s="9">
        <v>30162.400000000001</v>
      </c>
      <c r="H272" t="s">
        <v>119</v>
      </c>
      <c r="I272">
        <v>60</v>
      </c>
    </row>
    <row r="273" spans="1:9" x14ac:dyDescent="0.35">
      <c r="A273" t="s">
        <v>61</v>
      </c>
      <c r="B273">
        <v>2022</v>
      </c>
      <c r="C273" t="s">
        <v>10</v>
      </c>
      <c r="D273" t="s">
        <v>12</v>
      </c>
      <c r="E273" t="str">
        <f>tblData[[#This Row],[Company]]&amp;"|"&amp;tblData[[#This Row],[Line item as reported]]</f>
        <v>Empire|Cost of sales</v>
      </c>
      <c r="F273" t="str">
        <f>_xlfn.XLOOKUP(tblData[[#This Row],[Map key]],tblMap[Map key],tblMap[Standard line item],"UNMAPPED")</f>
        <v>Cost of sales</v>
      </c>
      <c r="G273" s="9">
        <v>22502.7</v>
      </c>
      <c r="H273" t="s">
        <v>119</v>
      </c>
      <c r="I273">
        <v>60</v>
      </c>
    </row>
    <row r="274" spans="1:9" x14ac:dyDescent="0.35">
      <c r="A274" t="s">
        <v>61</v>
      </c>
      <c r="B274">
        <v>2022</v>
      </c>
      <c r="C274" t="s">
        <v>10</v>
      </c>
      <c r="D274" t="s">
        <v>62</v>
      </c>
      <c r="E274" t="str">
        <f>tblData[[#This Row],[Company]]&amp;"|"&amp;tblData[[#This Row],[Line item as reported]]</f>
        <v>Empire|Finance costs, net</v>
      </c>
      <c r="F274" t="str">
        <f>_xlfn.XLOOKUP(tblData[[#This Row],[Map key]],tblMap[Map key],tblMap[Standard line item],"UNMAPPED")</f>
        <v>Net finance costs</v>
      </c>
      <c r="G274" s="9">
        <v>282.10000000000002</v>
      </c>
      <c r="H274" t="s">
        <v>119</v>
      </c>
      <c r="I274">
        <v>60</v>
      </c>
    </row>
    <row r="275" spans="1:9" x14ac:dyDescent="0.35">
      <c r="A275" t="s">
        <v>61</v>
      </c>
      <c r="B275">
        <v>2022</v>
      </c>
      <c r="C275" t="s">
        <v>10</v>
      </c>
      <c r="D275" t="s">
        <v>15</v>
      </c>
      <c r="E275" t="str">
        <f>tblData[[#This Row],[Company]]&amp;"|"&amp;tblData[[#This Row],[Line item as reported]]</f>
        <v>Empire|Earnings before income taxes</v>
      </c>
      <c r="F275" t="str">
        <f>_xlfn.XLOOKUP(tblData[[#This Row],[Map key]],tblMap[Map key],tblMap[Standard line item],"UNMAPPED")</f>
        <v>Earnings before income taxes</v>
      </c>
      <c r="G275" s="9">
        <v>1081.5999999999999</v>
      </c>
      <c r="H275" t="s">
        <v>119</v>
      </c>
      <c r="I275">
        <v>60</v>
      </c>
    </row>
    <row r="276" spans="1:9" x14ac:dyDescent="0.35">
      <c r="A276" t="s">
        <v>61</v>
      </c>
      <c r="B276">
        <v>2022</v>
      </c>
      <c r="C276" t="s">
        <v>10</v>
      </c>
      <c r="D276" t="s">
        <v>63</v>
      </c>
      <c r="E276" t="str">
        <f>tblData[[#This Row],[Company]]&amp;"|"&amp;tblData[[#This Row],[Line item as reported]]</f>
        <v>Empire|Income tax expense</v>
      </c>
      <c r="F276" t="str">
        <f>_xlfn.XLOOKUP(tblData[[#This Row],[Map key]],tblMap[Map key],tblMap[Standard line item],"UNMAPPED")</f>
        <v>Income taxes</v>
      </c>
      <c r="G276" s="9">
        <v>270.3</v>
      </c>
      <c r="H276" t="s">
        <v>119</v>
      </c>
      <c r="I276">
        <v>60</v>
      </c>
    </row>
    <row r="277" spans="1:9" x14ac:dyDescent="0.35">
      <c r="A277" t="s">
        <v>61</v>
      </c>
      <c r="B277">
        <v>2022</v>
      </c>
      <c r="C277" t="s">
        <v>10</v>
      </c>
      <c r="D277" t="s">
        <v>17</v>
      </c>
      <c r="E277" t="str">
        <f>tblData[[#This Row],[Company]]&amp;"|"&amp;tblData[[#This Row],[Line item as reported]]</f>
        <v>Empire|No discontinued operations</v>
      </c>
      <c r="F277" t="str">
        <f>_xlfn.XLOOKUP(tblData[[#This Row],[Map key]],tblMap[Map key],tblMap[Standard line item],"UNMAPPED")</f>
        <v>Net earnings from discontinued operations</v>
      </c>
      <c r="G277" s="9">
        <v>0</v>
      </c>
      <c r="H277" t="s">
        <v>119</v>
      </c>
      <c r="I277">
        <v>60</v>
      </c>
    </row>
    <row r="278" spans="1:9" x14ac:dyDescent="0.35">
      <c r="A278" t="s">
        <v>61</v>
      </c>
      <c r="B278">
        <v>2022</v>
      </c>
      <c r="C278" t="s">
        <v>10</v>
      </c>
      <c r="D278" t="s">
        <v>20</v>
      </c>
      <c r="E278" t="str">
        <f>tblData[[#This Row],[Company]]&amp;"|"&amp;tblData[[#This Row],[Line item as reported]]</f>
        <v>Empire|Net earnings</v>
      </c>
      <c r="F278" t="str">
        <f>_xlfn.XLOOKUP(tblData[[#This Row],[Map key]],tblMap[Map key],tblMap[Standard line item],"UNMAPPED")</f>
        <v>Net earnings</v>
      </c>
      <c r="G278" s="9">
        <v>811.3</v>
      </c>
      <c r="H278" t="s">
        <v>119</v>
      </c>
      <c r="I278">
        <v>60</v>
      </c>
    </row>
    <row r="279" spans="1:9" x14ac:dyDescent="0.35">
      <c r="A279" t="s">
        <v>61</v>
      </c>
      <c r="B279">
        <v>2022</v>
      </c>
      <c r="C279" t="s">
        <v>10</v>
      </c>
      <c r="D279" t="s">
        <v>64</v>
      </c>
      <c r="E279" t="str">
        <f>tblData[[#This Row],[Company]]&amp;"|"&amp;tblData[[#This Row],[Line item as reported]]</f>
        <v>Empire|Owners of the Company</v>
      </c>
      <c r="F279" t="str">
        <f>_xlfn.XLOOKUP(tblData[[#This Row],[Map key]],tblMap[Map key],tblMap[Standard line item],"UNMAPPED")</f>
        <v>Net earnings attributable to shareholders</v>
      </c>
      <c r="G279" s="9">
        <v>745.8</v>
      </c>
      <c r="H279" t="s">
        <v>119</v>
      </c>
      <c r="I279">
        <v>60</v>
      </c>
    </row>
    <row r="280" spans="1:9" x14ac:dyDescent="0.35">
      <c r="A280" t="s">
        <v>61</v>
      </c>
      <c r="B280">
        <v>2022</v>
      </c>
      <c r="C280" t="s">
        <v>24</v>
      </c>
      <c r="D280" t="s">
        <v>23</v>
      </c>
      <c r="E280" t="str">
        <f>tblData[[#This Row],[Company]]&amp;"|"&amp;tblData[[#This Row],[Line item as reported]]</f>
        <v>Empire|Inventories</v>
      </c>
      <c r="F280" t="str">
        <f>_xlfn.XLOOKUP(tblData[[#This Row],[Map key]],tblMap[Map key],tblMap[Standard line item],"UNMAPPED")</f>
        <v>Inventories</v>
      </c>
      <c r="G280" s="9">
        <v>1591.5</v>
      </c>
      <c r="H280" t="s">
        <v>119</v>
      </c>
      <c r="I280">
        <v>59</v>
      </c>
    </row>
    <row r="281" spans="1:9" x14ac:dyDescent="0.35">
      <c r="A281" t="s">
        <v>61</v>
      </c>
      <c r="B281">
        <v>2022</v>
      </c>
      <c r="C281" t="s">
        <v>24</v>
      </c>
      <c r="D281" t="s">
        <v>48</v>
      </c>
      <c r="E281" t="str">
        <f>tblData[[#This Row],[Company]]&amp;"|"&amp;tblData[[#This Row],[Line item as reported]]</f>
        <v>Empire|Current assets (unlabelled subtotal)</v>
      </c>
      <c r="F281" t="str">
        <f>_xlfn.XLOOKUP(tblData[[#This Row],[Map key]],tblMap[Map key],tblMap[Standard line item],"UNMAPPED")</f>
        <v>Total current assets</v>
      </c>
      <c r="G281" s="9">
        <v>3212.7</v>
      </c>
      <c r="H281" t="s">
        <v>119</v>
      </c>
      <c r="I281">
        <v>59</v>
      </c>
    </row>
    <row r="282" spans="1:9" x14ac:dyDescent="0.35">
      <c r="A282" t="s">
        <v>61</v>
      </c>
      <c r="B282">
        <v>2022</v>
      </c>
      <c r="C282" t="s">
        <v>24</v>
      </c>
      <c r="D282" t="s">
        <v>49</v>
      </c>
      <c r="E282" t="str">
        <f>tblData[[#This Row],[Company]]&amp;"|"&amp;tblData[[#This Row],[Line item as reported]]</f>
        <v>Empire|Total assets (unlabelled subtotal)</v>
      </c>
      <c r="F282" t="str">
        <f>_xlfn.XLOOKUP(tblData[[#This Row],[Map key]],tblMap[Map key],tblMap[Standard line item],"UNMAPPED")</f>
        <v>Total assets</v>
      </c>
      <c r="G282" s="9">
        <v>16593.599999999999</v>
      </c>
      <c r="H282" t="s">
        <v>119</v>
      </c>
      <c r="I282">
        <v>59</v>
      </c>
    </row>
    <row r="283" spans="1:9" x14ac:dyDescent="0.35">
      <c r="A283" t="s">
        <v>61</v>
      </c>
      <c r="B283">
        <v>2022</v>
      </c>
      <c r="C283" t="s">
        <v>24</v>
      </c>
      <c r="D283" t="s">
        <v>50</v>
      </c>
      <c r="E283" t="str">
        <f>tblData[[#This Row],[Company]]&amp;"|"&amp;tblData[[#This Row],[Line item as reported]]</f>
        <v>Empire|Current liabilities (unlabelled subtotal)</v>
      </c>
      <c r="F283" t="str">
        <f>_xlfn.XLOOKUP(tblData[[#This Row],[Map key]],tblMap[Map key],tblMap[Standard line item],"UNMAPPED")</f>
        <v>Total current liabilities</v>
      </c>
      <c r="G283" s="9">
        <v>4239.7</v>
      </c>
      <c r="H283" t="s">
        <v>119</v>
      </c>
      <c r="I283">
        <v>59</v>
      </c>
    </row>
    <row r="284" spans="1:9" x14ac:dyDescent="0.35">
      <c r="A284" t="s">
        <v>61</v>
      </c>
      <c r="B284">
        <v>2022</v>
      </c>
      <c r="C284" t="s">
        <v>24</v>
      </c>
      <c r="D284" t="s">
        <v>51</v>
      </c>
      <c r="E284" t="str">
        <f>tblData[[#This Row],[Company]]&amp;"|"&amp;tblData[[#This Row],[Line item as reported]]</f>
        <v>Empire|Total liabilities (unlabelled subtotal)</v>
      </c>
      <c r="F284" t="str">
        <f>_xlfn.XLOOKUP(tblData[[#This Row],[Map key]],tblMap[Map key],tblMap[Standard line item],"UNMAPPED")</f>
        <v>Total liabilities</v>
      </c>
      <c r="G284" s="9">
        <v>11459.7</v>
      </c>
      <c r="H284" t="s">
        <v>119</v>
      </c>
      <c r="I284">
        <v>59</v>
      </c>
    </row>
    <row r="285" spans="1:9" x14ac:dyDescent="0.35">
      <c r="A285" t="s">
        <v>61</v>
      </c>
      <c r="B285">
        <v>2022</v>
      </c>
      <c r="C285" t="s">
        <v>24</v>
      </c>
      <c r="D285" t="s">
        <v>52</v>
      </c>
      <c r="E285" t="str">
        <f>tblData[[#This Row],[Company]]&amp;"|"&amp;tblData[[#This Row],[Line item as reported]]</f>
        <v>Empire|Total equity (unlabelled subtotal)</v>
      </c>
      <c r="F285" t="str">
        <f>_xlfn.XLOOKUP(tblData[[#This Row],[Map key]],tblMap[Map key],tblMap[Standard line item],"UNMAPPED")</f>
        <v>Total equity</v>
      </c>
      <c r="G285" s="9">
        <v>5133.8999999999996</v>
      </c>
      <c r="H285" t="s">
        <v>119</v>
      </c>
      <c r="I285">
        <v>59</v>
      </c>
    </row>
    <row r="286" spans="1:9" x14ac:dyDescent="0.35">
      <c r="A286" t="s">
        <v>61</v>
      </c>
      <c r="B286">
        <v>2022</v>
      </c>
      <c r="C286" t="s">
        <v>24</v>
      </c>
      <c r="D286" t="s">
        <v>65</v>
      </c>
      <c r="E286" t="str">
        <f>tblData[[#This Row],[Company]]&amp;"|"&amp;tblData[[#This Row],[Line item as reported]]</f>
        <v>Empire|Shareholders' equity before non-controlling interest (unlabelled subtotal)</v>
      </c>
      <c r="F286" t="str">
        <f>_xlfn.XLOOKUP(tblData[[#This Row],[Map key]],tblMap[Map key],tblMap[Standard line item],"UNMAPPED")</f>
        <v>Equity attributable to shareholders</v>
      </c>
      <c r="G286" s="9">
        <v>4991.5</v>
      </c>
      <c r="H286" t="s">
        <v>119</v>
      </c>
      <c r="I286">
        <v>59</v>
      </c>
    </row>
    <row r="287" spans="1:9" x14ac:dyDescent="0.35">
      <c r="A287" t="s">
        <v>61</v>
      </c>
      <c r="B287">
        <v>2022</v>
      </c>
      <c r="C287" t="s">
        <v>34</v>
      </c>
      <c r="D287" t="s">
        <v>32</v>
      </c>
      <c r="E287" t="str">
        <f>tblData[[#This Row],[Company]]&amp;"|"&amp;tblData[[#This Row],[Line item as reported]]</f>
        <v>Empire|Cash flows from operating activities</v>
      </c>
      <c r="F287" t="str">
        <f>_xlfn.XLOOKUP(tblData[[#This Row],[Map key]],tblMap[Map key],tblMap[Standard line item],"UNMAPPED")</f>
        <v>Cash from operating activities</v>
      </c>
      <c r="G287" s="9">
        <v>2107.1</v>
      </c>
      <c r="H287" t="s">
        <v>119</v>
      </c>
      <c r="I287">
        <v>63</v>
      </c>
    </row>
    <row r="288" spans="1:9" x14ac:dyDescent="0.35">
      <c r="A288" t="s">
        <v>61</v>
      </c>
      <c r="B288">
        <v>2022</v>
      </c>
      <c r="C288" t="s">
        <v>34</v>
      </c>
      <c r="D288" t="s">
        <v>66</v>
      </c>
      <c r="E288" t="str">
        <f>tblData[[#This Row],[Company]]&amp;"|"&amp;tblData[[#This Row],[Line item as reported]]</f>
        <v>Empire|Property, equipment and investment property purchases</v>
      </c>
      <c r="F288" t="str">
        <f>_xlfn.XLOOKUP(tblData[[#This Row],[Map key]],tblMap[Map key],tblMap[Standard line item],"UNMAPPED")</f>
        <v>Purchases of fixed assets</v>
      </c>
      <c r="G288" s="9">
        <v>633</v>
      </c>
      <c r="H288" t="s">
        <v>119</v>
      </c>
      <c r="I288">
        <v>63</v>
      </c>
    </row>
    <row r="289" spans="1:9" x14ac:dyDescent="0.35">
      <c r="A289" t="s">
        <v>61</v>
      </c>
      <c r="B289">
        <v>2022</v>
      </c>
      <c r="C289" t="s">
        <v>34</v>
      </c>
      <c r="D289" t="s">
        <v>69</v>
      </c>
      <c r="E289" t="str">
        <f>tblData[[#This Row],[Company]]&amp;"|"&amp;tblData[[#This Row],[Line item as reported]]</f>
        <v>Empire|Intangible purchases</v>
      </c>
      <c r="F289" t="str">
        <f>_xlfn.XLOOKUP(tblData[[#This Row],[Map key]],tblMap[Map key],tblMap[Standard line item],"UNMAPPED")</f>
        <v>Purchases of intangible assets</v>
      </c>
      <c r="G289" s="9">
        <v>147.30000000000001</v>
      </c>
      <c r="H289" t="s">
        <v>119</v>
      </c>
      <c r="I289">
        <v>63</v>
      </c>
    </row>
    <row r="290" spans="1:9" x14ac:dyDescent="0.35">
      <c r="A290" t="s">
        <v>61</v>
      </c>
      <c r="B290">
        <v>2022</v>
      </c>
      <c r="C290" t="s">
        <v>34</v>
      </c>
      <c r="D290" t="s">
        <v>68</v>
      </c>
      <c r="E290" t="str">
        <f>tblData[[#This Row],[Company]]&amp;"|"&amp;tblData[[#This Row],[Line item as reported]]</f>
        <v>Empire|Payments of lease liabilities (principal portion)</v>
      </c>
      <c r="F290" t="str">
        <f>_xlfn.XLOOKUP(tblData[[#This Row],[Map key]],tblMap[Map key],tblMap[Standard line item],"UNMAPPED")</f>
        <v>Lease principal payments</v>
      </c>
      <c r="G290" s="9">
        <v>482.8</v>
      </c>
      <c r="H290" t="s">
        <v>119</v>
      </c>
      <c r="I290">
        <v>63</v>
      </c>
    </row>
    <row r="291" spans="1:9" x14ac:dyDescent="0.35">
      <c r="A291" t="s">
        <v>61</v>
      </c>
      <c r="B291">
        <v>2023</v>
      </c>
      <c r="C291" t="s">
        <v>10</v>
      </c>
      <c r="D291" t="s">
        <v>43</v>
      </c>
      <c r="E291" t="str">
        <f>tblData[[#This Row],[Company]]&amp;"|"&amp;tblData[[#This Row],[Line item as reported]]</f>
        <v>Empire|Sales</v>
      </c>
      <c r="F291" t="str">
        <f>_xlfn.XLOOKUP(tblData[[#This Row],[Map key]],tblMap[Map key],tblMap[Standard line item],"UNMAPPED")</f>
        <v>Revenue</v>
      </c>
      <c r="G291" s="9">
        <v>30478.1</v>
      </c>
      <c r="H291" t="s">
        <v>119</v>
      </c>
      <c r="I291">
        <v>60</v>
      </c>
    </row>
    <row r="292" spans="1:9" x14ac:dyDescent="0.35">
      <c r="A292" t="s">
        <v>61</v>
      </c>
      <c r="B292">
        <v>2023</v>
      </c>
      <c r="C292" t="s">
        <v>10</v>
      </c>
      <c r="D292" t="s">
        <v>12</v>
      </c>
      <c r="E292" t="str">
        <f>tblData[[#This Row],[Company]]&amp;"|"&amp;tblData[[#This Row],[Line item as reported]]</f>
        <v>Empire|Cost of sales</v>
      </c>
      <c r="F292" t="str">
        <f>_xlfn.XLOOKUP(tblData[[#This Row],[Map key]],tblMap[Map key],tblMap[Standard line item],"UNMAPPED")</f>
        <v>Cost of sales</v>
      </c>
      <c r="G292" s="9">
        <v>22685.4</v>
      </c>
      <c r="H292" t="s">
        <v>119</v>
      </c>
      <c r="I292">
        <v>60</v>
      </c>
    </row>
    <row r="293" spans="1:9" x14ac:dyDescent="0.35">
      <c r="A293" t="s">
        <v>61</v>
      </c>
      <c r="B293">
        <v>2023</v>
      </c>
      <c r="C293" t="s">
        <v>10</v>
      </c>
      <c r="D293" t="s">
        <v>62</v>
      </c>
      <c r="E293" t="str">
        <f>tblData[[#This Row],[Company]]&amp;"|"&amp;tblData[[#This Row],[Line item as reported]]</f>
        <v>Empire|Finance costs, net</v>
      </c>
      <c r="F293" t="str">
        <f>_xlfn.XLOOKUP(tblData[[#This Row],[Map key]],tblMap[Map key],tblMap[Standard line item],"UNMAPPED")</f>
        <v>Net finance costs</v>
      </c>
      <c r="G293" s="9">
        <v>267</v>
      </c>
      <c r="H293" t="s">
        <v>119</v>
      </c>
      <c r="I293">
        <v>60</v>
      </c>
    </row>
    <row r="294" spans="1:9" x14ac:dyDescent="0.35">
      <c r="A294" t="s">
        <v>61</v>
      </c>
      <c r="B294">
        <v>2023</v>
      </c>
      <c r="C294" t="s">
        <v>10</v>
      </c>
      <c r="D294" t="s">
        <v>15</v>
      </c>
      <c r="E294" t="str">
        <f>tblData[[#This Row],[Company]]&amp;"|"&amp;tblData[[#This Row],[Line item as reported]]</f>
        <v>Empire|Earnings before income taxes</v>
      </c>
      <c r="F294" t="str">
        <f>_xlfn.XLOOKUP(tblData[[#This Row],[Map key]],tblMap[Map key],tblMap[Standard line item],"UNMAPPED")</f>
        <v>Earnings before income taxes</v>
      </c>
      <c r="G294" s="9">
        <v>965.4</v>
      </c>
      <c r="H294" t="s">
        <v>119</v>
      </c>
      <c r="I294">
        <v>60</v>
      </c>
    </row>
    <row r="295" spans="1:9" x14ac:dyDescent="0.35">
      <c r="A295" t="s">
        <v>61</v>
      </c>
      <c r="B295">
        <v>2023</v>
      </c>
      <c r="C295" t="s">
        <v>10</v>
      </c>
      <c r="D295" t="s">
        <v>63</v>
      </c>
      <c r="E295" t="str">
        <f>tblData[[#This Row],[Company]]&amp;"|"&amp;tblData[[#This Row],[Line item as reported]]</f>
        <v>Empire|Income tax expense</v>
      </c>
      <c r="F295" t="str">
        <f>_xlfn.XLOOKUP(tblData[[#This Row],[Map key]],tblMap[Map key],tblMap[Standard line item],"UNMAPPED")</f>
        <v>Income taxes</v>
      </c>
      <c r="G295" s="9">
        <v>237.7</v>
      </c>
      <c r="H295" t="s">
        <v>119</v>
      </c>
      <c r="I295">
        <v>60</v>
      </c>
    </row>
    <row r="296" spans="1:9" x14ac:dyDescent="0.35">
      <c r="A296" t="s">
        <v>61</v>
      </c>
      <c r="B296">
        <v>2023</v>
      </c>
      <c r="C296" t="s">
        <v>10</v>
      </c>
      <c r="D296" t="s">
        <v>17</v>
      </c>
      <c r="E296" t="str">
        <f>tblData[[#This Row],[Company]]&amp;"|"&amp;tblData[[#This Row],[Line item as reported]]</f>
        <v>Empire|No discontinued operations</v>
      </c>
      <c r="F296" t="str">
        <f>_xlfn.XLOOKUP(tblData[[#This Row],[Map key]],tblMap[Map key],tblMap[Standard line item],"UNMAPPED")</f>
        <v>Net earnings from discontinued operations</v>
      </c>
      <c r="G296" s="9">
        <v>0</v>
      </c>
      <c r="H296" t="s">
        <v>119</v>
      </c>
      <c r="I296">
        <v>60</v>
      </c>
    </row>
    <row r="297" spans="1:9" x14ac:dyDescent="0.35">
      <c r="A297" t="s">
        <v>61</v>
      </c>
      <c r="B297">
        <v>2023</v>
      </c>
      <c r="C297" t="s">
        <v>10</v>
      </c>
      <c r="D297" t="s">
        <v>20</v>
      </c>
      <c r="E297" t="str">
        <f>tblData[[#This Row],[Company]]&amp;"|"&amp;tblData[[#This Row],[Line item as reported]]</f>
        <v>Empire|Net earnings</v>
      </c>
      <c r="F297" t="str">
        <f>_xlfn.XLOOKUP(tblData[[#This Row],[Map key]],tblMap[Map key],tblMap[Standard line item],"UNMAPPED")</f>
        <v>Net earnings</v>
      </c>
      <c r="G297" s="9">
        <v>727.7</v>
      </c>
      <c r="H297" t="s">
        <v>119</v>
      </c>
      <c r="I297">
        <v>60</v>
      </c>
    </row>
    <row r="298" spans="1:9" x14ac:dyDescent="0.35">
      <c r="A298" t="s">
        <v>61</v>
      </c>
      <c r="B298">
        <v>2023</v>
      </c>
      <c r="C298" t="s">
        <v>10</v>
      </c>
      <c r="D298" t="s">
        <v>64</v>
      </c>
      <c r="E298" t="str">
        <f>tblData[[#This Row],[Company]]&amp;"|"&amp;tblData[[#This Row],[Line item as reported]]</f>
        <v>Empire|Owners of the Company</v>
      </c>
      <c r="F298" t="str">
        <f>_xlfn.XLOOKUP(tblData[[#This Row],[Map key]],tblMap[Map key],tblMap[Standard line item],"UNMAPPED")</f>
        <v>Net earnings attributable to shareholders</v>
      </c>
      <c r="G298" s="9">
        <v>686</v>
      </c>
      <c r="H298" t="s">
        <v>119</v>
      </c>
      <c r="I298">
        <v>60</v>
      </c>
    </row>
    <row r="299" spans="1:9" x14ac:dyDescent="0.35">
      <c r="A299" t="s">
        <v>61</v>
      </c>
      <c r="B299">
        <v>2023</v>
      </c>
      <c r="C299" t="s">
        <v>24</v>
      </c>
      <c r="D299" t="s">
        <v>23</v>
      </c>
      <c r="E299" t="str">
        <f>tblData[[#This Row],[Company]]&amp;"|"&amp;tblData[[#This Row],[Line item as reported]]</f>
        <v>Empire|Inventories</v>
      </c>
      <c r="F299" t="str">
        <f>_xlfn.XLOOKUP(tblData[[#This Row],[Map key]],tblMap[Map key],tblMap[Standard line item],"UNMAPPED")</f>
        <v>Inventories</v>
      </c>
      <c r="G299" s="9">
        <v>1743.3</v>
      </c>
      <c r="H299" t="s">
        <v>119</v>
      </c>
      <c r="I299">
        <v>59</v>
      </c>
    </row>
    <row r="300" spans="1:9" x14ac:dyDescent="0.35">
      <c r="A300" t="s">
        <v>61</v>
      </c>
      <c r="B300">
        <v>2023</v>
      </c>
      <c r="C300" t="s">
        <v>24</v>
      </c>
      <c r="D300" t="s">
        <v>48</v>
      </c>
      <c r="E300" t="str">
        <f>tblData[[#This Row],[Company]]&amp;"|"&amp;tblData[[#This Row],[Line item as reported]]</f>
        <v>Empire|Current assets (unlabelled subtotal)</v>
      </c>
      <c r="F300" t="str">
        <f>_xlfn.XLOOKUP(tblData[[#This Row],[Map key]],tblMap[Map key],tblMap[Standard line item],"UNMAPPED")</f>
        <v>Total current assets</v>
      </c>
      <c r="G300" s="9">
        <v>2955</v>
      </c>
      <c r="H300" t="s">
        <v>119</v>
      </c>
      <c r="I300">
        <v>59</v>
      </c>
    </row>
    <row r="301" spans="1:9" x14ac:dyDescent="0.35">
      <c r="A301" t="s">
        <v>61</v>
      </c>
      <c r="B301">
        <v>2023</v>
      </c>
      <c r="C301" t="s">
        <v>24</v>
      </c>
      <c r="D301" t="s">
        <v>49</v>
      </c>
      <c r="E301" t="str">
        <f>tblData[[#This Row],[Company]]&amp;"|"&amp;tblData[[#This Row],[Line item as reported]]</f>
        <v>Empire|Total assets (unlabelled subtotal)</v>
      </c>
      <c r="F301" t="str">
        <f>_xlfn.XLOOKUP(tblData[[#This Row],[Map key]],tblMap[Map key],tblMap[Standard line item],"UNMAPPED")</f>
        <v>Total assets</v>
      </c>
      <c r="G301" s="9">
        <v>16483.7</v>
      </c>
      <c r="H301" t="s">
        <v>119</v>
      </c>
      <c r="I301">
        <v>59</v>
      </c>
    </row>
    <row r="302" spans="1:9" x14ac:dyDescent="0.35">
      <c r="A302" t="s">
        <v>61</v>
      </c>
      <c r="B302">
        <v>2023</v>
      </c>
      <c r="C302" t="s">
        <v>24</v>
      </c>
      <c r="D302" t="s">
        <v>50</v>
      </c>
      <c r="E302" t="str">
        <f>tblData[[#This Row],[Company]]&amp;"|"&amp;tblData[[#This Row],[Line item as reported]]</f>
        <v>Empire|Current liabilities (unlabelled subtotal)</v>
      </c>
      <c r="F302" t="str">
        <f>_xlfn.XLOOKUP(tblData[[#This Row],[Map key]],tblMap[Map key],tblMap[Standard line item],"UNMAPPED")</f>
        <v>Total current liabilities</v>
      </c>
      <c r="G302" s="9">
        <v>3857.5</v>
      </c>
      <c r="H302" t="s">
        <v>119</v>
      </c>
      <c r="I302">
        <v>59</v>
      </c>
    </row>
    <row r="303" spans="1:9" x14ac:dyDescent="0.35">
      <c r="A303" t="s">
        <v>61</v>
      </c>
      <c r="B303">
        <v>2023</v>
      </c>
      <c r="C303" t="s">
        <v>24</v>
      </c>
      <c r="D303" t="s">
        <v>51</v>
      </c>
      <c r="E303" t="str">
        <f>tblData[[#This Row],[Company]]&amp;"|"&amp;tblData[[#This Row],[Line item as reported]]</f>
        <v>Empire|Total liabilities (unlabelled subtotal)</v>
      </c>
      <c r="F303" t="str">
        <f>_xlfn.XLOOKUP(tblData[[#This Row],[Map key]],tblMap[Map key],tblMap[Standard line item],"UNMAPPED")</f>
        <v>Total liabilities</v>
      </c>
      <c r="G303" s="9">
        <v>11147</v>
      </c>
      <c r="H303" t="s">
        <v>119</v>
      </c>
      <c r="I303">
        <v>59</v>
      </c>
    </row>
    <row r="304" spans="1:9" x14ac:dyDescent="0.35">
      <c r="A304" t="s">
        <v>61</v>
      </c>
      <c r="B304">
        <v>2023</v>
      </c>
      <c r="C304" t="s">
        <v>24</v>
      </c>
      <c r="D304" t="s">
        <v>52</v>
      </c>
      <c r="E304" t="str">
        <f>tblData[[#This Row],[Company]]&amp;"|"&amp;tblData[[#This Row],[Line item as reported]]</f>
        <v>Empire|Total equity (unlabelled subtotal)</v>
      </c>
      <c r="F304" t="str">
        <f>_xlfn.XLOOKUP(tblData[[#This Row],[Map key]],tblMap[Map key],tblMap[Standard line item],"UNMAPPED")</f>
        <v>Total equity</v>
      </c>
      <c r="G304" s="9">
        <v>5336.7</v>
      </c>
      <c r="H304" t="s">
        <v>119</v>
      </c>
      <c r="I304">
        <v>59</v>
      </c>
    </row>
    <row r="305" spans="1:9" x14ac:dyDescent="0.35">
      <c r="A305" t="s">
        <v>61</v>
      </c>
      <c r="B305">
        <v>2023</v>
      </c>
      <c r="C305" t="s">
        <v>24</v>
      </c>
      <c r="D305" t="s">
        <v>65</v>
      </c>
      <c r="E305" t="str">
        <f>tblData[[#This Row],[Company]]&amp;"|"&amp;tblData[[#This Row],[Line item as reported]]</f>
        <v>Empire|Shareholders' equity before non-controlling interest (unlabelled subtotal)</v>
      </c>
      <c r="F305" t="str">
        <f>_xlfn.XLOOKUP(tblData[[#This Row],[Map key]],tblMap[Map key],tblMap[Standard line item],"UNMAPPED")</f>
        <v>Equity attributable to shareholders</v>
      </c>
      <c r="G305" s="9">
        <v>5200.3999999999996</v>
      </c>
      <c r="H305" t="s">
        <v>119</v>
      </c>
      <c r="I305">
        <v>59</v>
      </c>
    </row>
    <row r="306" spans="1:9" x14ac:dyDescent="0.35">
      <c r="A306" t="s">
        <v>61</v>
      </c>
      <c r="B306">
        <v>2023</v>
      </c>
      <c r="C306" t="s">
        <v>34</v>
      </c>
      <c r="D306" t="s">
        <v>32</v>
      </c>
      <c r="E306" t="str">
        <f>tblData[[#This Row],[Company]]&amp;"|"&amp;tblData[[#This Row],[Line item as reported]]</f>
        <v>Empire|Cash flows from operating activities</v>
      </c>
      <c r="F306" t="str">
        <f>_xlfn.XLOOKUP(tblData[[#This Row],[Map key]],tblMap[Map key],tblMap[Standard line item],"UNMAPPED")</f>
        <v>Cash from operating activities</v>
      </c>
      <c r="G306" s="9">
        <v>1605.3</v>
      </c>
      <c r="H306" t="s">
        <v>119</v>
      </c>
      <c r="I306">
        <v>63</v>
      </c>
    </row>
    <row r="307" spans="1:9" x14ac:dyDescent="0.35">
      <c r="A307" t="s">
        <v>61</v>
      </c>
      <c r="B307">
        <v>2023</v>
      </c>
      <c r="C307" t="s">
        <v>34</v>
      </c>
      <c r="D307" t="s">
        <v>66</v>
      </c>
      <c r="E307" t="str">
        <f>tblData[[#This Row],[Company]]&amp;"|"&amp;tblData[[#This Row],[Line item as reported]]</f>
        <v>Empire|Property, equipment and investment property purchases</v>
      </c>
      <c r="F307" t="str">
        <f>_xlfn.XLOOKUP(tblData[[#This Row],[Map key]],tblMap[Map key],tblMap[Standard line item],"UNMAPPED")</f>
        <v>Purchases of fixed assets</v>
      </c>
      <c r="G307" s="9">
        <v>574.20000000000005</v>
      </c>
      <c r="H307" t="s">
        <v>119</v>
      </c>
      <c r="I307">
        <v>63</v>
      </c>
    </row>
    <row r="308" spans="1:9" x14ac:dyDescent="0.35">
      <c r="A308" t="s">
        <v>61</v>
      </c>
      <c r="B308">
        <v>2023</v>
      </c>
      <c r="C308" t="s">
        <v>34</v>
      </c>
      <c r="D308" t="s">
        <v>69</v>
      </c>
      <c r="E308" t="str">
        <f>tblData[[#This Row],[Company]]&amp;"|"&amp;tblData[[#This Row],[Line item as reported]]</f>
        <v>Empire|Intangible purchases</v>
      </c>
      <c r="F308" t="str">
        <f>_xlfn.XLOOKUP(tblData[[#This Row],[Map key]],tblMap[Map key],tblMap[Standard line item],"UNMAPPED")</f>
        <v>Purchases of intangible assets</v>
      </c>
      <c r="G308" s="9">
        <v>183.5</v>
      </c>
      <c r="H308" t="s">
        <v>119</v>
      </c>
      <c r="I308">
        <v>63</v>
      </c>
    </row>
    <row r="309" spans="1:9" x14ac:dyDescent="0.35">
      <c r="A309" t="s">
        <v>61</v>
      </c>
      <c r="B309">
        <v>2023</v>
      </c>
      <c r="C309" t="s">
        <v>34</v>
      </c>
      <c r="D309" t="s">
        <v>68</v>
      </c>
      <c r="E309" t="str">
        <f>tblData[[#This Row],[Company]]&amp;"|"&amp;tblData[[#This Row],[Line item as reported]]</f>
        <v>Empire|Payments of lease liabilities (principal portion)</v>
      </c>
      <c r="F309" t="str">
        <f>_xlfn.XLOOKUP(tblData[[#This Row],[Map key]],tblMap[Map key],tblMap[Standard line item],"UNMAPPED")</f>
        <v>Lease principal payments</v>
      </c>
      <c r="G309" s="9">
        <v>507.6</v>
      </c>
      <c r="H309" t="s">
        <v>119</v>
      </c>
      <c r="I309">
        <v>63</v>
      </c>
    </row>
    <row r="310" spans="1:9" x14ac:dyDescent="0.35">
      <c r="A310" t="s">
        <v>61</v>
      </c>
      <c r="B310">
        <v>2024</v>
      </c>
      <c r="C310" t="s">
        <v>10</v>
      </c>
      <c r="D310" t="s">
        <v>43</v>
      </c>
      <c r="E310" t="str">
        <f>tblData[[#This Row],[Company]]&amp;"|"&amp;tblData[[#This Row],[Line item as reported]]</f>
        <v>Empire|Sales</v>
      </c>
      <c r="F310" t="str">
        <f>_xlfn.XLOOKUP(tblData[[#This Row],[Map key]],tblMap[Map key],tblMap[Standard line item],"UNMAPPED")</f>
        <v>Revenue</v>
      </c>
      <c r="G310" s="9">
        <v>30733</v>
      </c>
      <c r="H310" t="s">
        <v>120</v>
      </c>
      <c r="I310">
        <v>56</v>
      </c>
    </row>
    <row r="311" spans="1:9" x14ac:dyDescent="0.35">
      <c r="A311" t="s">
        <v>61</v>
      </c>
      <c r="B311">
        <v>2024</v>
      </c>
      <c r="C311" t="s">
        <v>10</v>
      </c>
      <c r="D311" t="s">
        <v>12</v>
      </c>
      <c r="E311" t="str">
        <f>tblData[[#This Row],[Company]]&amp;"|"&amp;tblData[[#This Row],[Line item as reported]]</f>
        <v>Empire|Cost of sales</v>
      </c>
      <c r="F311" t="str">
        <f>_xlfn.XLOOKUP(tblData[[#This Row],[Map key]],tblMap[Map key],tblMap[Standard line item],"UNMAPPED")</f>
        <v>Cost of sales</v>
      </c>
      <c r="G311" s="9">
        <v>22662</v>
      </c>
      <c r="H311" t="s">
        <v>120</v>
      </c>
      <c r="I311">
        <v>56</v>
      </c>
    </row>
    <row r="312" spans="1:9" x14ac:dyDescent="0.35">
      <c r="A312" t="s">
        <v>61</v>
      </c>
      <c r="B312">
        <v>2024</v>
      </c>
      <c r="C312" t="s">
        <v>10</v>
      </c>
      <c r="D312" t="s">
        <v>62</v>
      </c>
      <c r="E312" t="str">
        <f>tblData[[#This Row],[Company]]&amp;"|"&amp;tblData[[#This Row],[Line item as reported]]</f>
        <v>Empire|Finance costs, net</v>
      </c>
      <c r="F312" t="str">
        <f>_xlfn.XLOOKUP(tblData[[#This Row],[Map key]],tblMap[Map key],tblMap[Standard line item],"UNMAPPED")</f>
        <v>Net finance costs</v>
      </c>
      <c r="G312" s="9">
        <v>282</v>
      </c>
      <c r="H312" t="s">
        <v>120</v>
      </c>
      <c r="I312">
        <v>56</v>
      </c>
    </row>
    <row r="313" spans="1:9" x14ac:dyDescent="0.35">
      <c r="A313" t="s">
        <v>61</v>
      </c>
      <c r="B313">
        <v>2024</v>
      </c>
      <c r="C313" t="s">
        <v>10</v>
      </c>
      <c r="D313" t="s">
        <v>15</v>
      </c>
      <c r="E313" t="str">
        <f>tblData[[#This Row],[Company]]&amp;"|"&amp;tblData[[#This Row],[Line item as reported]]</f>
        <v>Empire|Earnings before income taxes</v>
      </c>
      <c r="F313" t="str">
        <f>_xlfn.XLOOKUP(tblData[[#This Row],[Map key]],tblMap[Map key],tblMap[Standard line item],"UNMAPPED")</f>
        <v>Earnings before income taxes</v>
      </c>
      <c r="G313" s="9">
        <v>1029</v>
      </c>
      <c r="H313" t="s">
        <v>120</v>
      </c>
      <c r="I313">
        <v>56</v>
      </c>
    </row>
    <row r="314" spans="1:9" x14ac:dyDescent="0.35">
      <c r="A314" t="s">
        <v>61</v>
      </c>
      <c r="B314">
        <v>2024</v>
      </c>
      <c r="C314" t="s">
        <v>10</v>
      </c>
      <c r="D314" t="s">
        <v>63</v>
      </c>
      <c r="E314" t="str">
        <f>tblData[[#This Row],[Company]]&amp;"|"&amp;tblData[[#This Row],[Line item as reported]]</f>
        <v>Empire|Income tax expense</v>
      </c>
      <c r="F314" t="str">
        <f>_xlfn.XLOOKUP(tblData[[#This Row],[Map key]],tblMap[Map key],tblMap[Standard line item],"UNMAPPED")</f>
        <v>Income taxes</v>
      </c>
      <c r="G314" s="9">
        <v>266</v>
      </c>
      <c r="H314" t="s">
        <v>120</v>
      </c>
      <c r="I314">
        <v>56</v>
      </c>
    </row>
    <row r="315" spans="1:9" x14ac:dyDescent="0.35">
      <c r="A315" t="s">
        <v>61</v>
      </c>
      <c r="B315">
        <v>2024</v>
      </c>
      <c r="C315" t="s">
        <v>10</v>
      </c>
      <c r="D315" t="s">
        <v>17</v>
      </c>
      <c r="E315" t="str">
        <f>tblData[[#This Row],[Company]]&amp;"|"&amp;tblData[[#This Row],[Line item as reported]]</f>
        <v>Empire|No discontinued operations</v>
      </c>
      <c r="F315" t="str">
        <f>_xlfn.XLOOKUP(tblData[[#This Row],[Map key]],tblMap[Map key],tblMap[Standard line item],"UNMAPPED")</f>
        <v>Net earnings from discontinued operations</v>
      </c>
      <c r="G315" s="9">
        <v>0</v>
      </c>
      <c r="H315" t="s">
        <v>120</v>
      </c>
      <c r="I315">
        <v>56</v>
      </c>
    </row>
    <row r="316" spans="1:9" x14ac:dyDescent="0.35">
      <c r="A316" t="s">
        <v>61</v>
      </c>
      <c r="B316">
        <v>2024</v>
      </c>
      <c r="C316" t="s">
        <v>10</v>
      </c>
      <c r="D316" t="s">
        <v>20</v>
      </c>
      <c r="E316" t="str">
        <f>tblData[[#This Row],[Company]]&amp;"|"&amp;tblData[[#This Row],[Line item as reported]]</f>
        <v>Empire|Net earnings</v>
      </c>
      <c r="F316" t="str">
        <f>_xlfn.XLOOKUP(tblData[[#This Row],[Map key]],tblMap[Map key],tblMap[Standard line item],"UNMAPPED")</f>
        <v>Net earnings</v>
      </c>
      <c r="G316" s="9">
        <v>763</v>
      </c>
      <c r="H316" t="s">
        <v>120</v>
      </c>
      <c r="I316">
        <v>56</v>
      </c>
    </row>
    <row r="317" spans="1:9" x14ac:dyDescent="0.35">
      <c r="A317" t="s">
        <v>61</v>
      </c>
      <c r="B317">
        <v>2024</v>
      </c>
      <c r="C317" t="s">
        <v>10</v>
      </c>
      <c r="D317" t="s">
        <v>64</v>
      </c>
      <c r="E317" t="str">
        <f>tblData[[#This Row],[Company]]&amp;"|"&amp;tblData[[#This Row],[Line item as reported]]</f>
        <v>Empire|Owners of the Company</v>
      </c>
      <c r="F317" t="str">
        <f>_xlfn.XLOOKUP(tblData[[#This Row],[Map key]],tblMap[Map key],tblMap[Standard line item],"UNMAPPED")</f>
        <v>Net earnings attributable to shareholders</v>
      </c>
      <c r="G317" s="9">
        <v>726</v>
      </c>
      <c r="H317" t="s">
        <v>120</v>
      </c>
      <c r="I317">
        <v>56</v>
      </c>
    </row>
    <row r="318" spans="1:9" x14ac:dyDescent="0.35">
      <c r="A318" t="s">
        <v>61</v>
      </c>
      <c r="B318">
        <v>2024</v>
      </c>
      <c r="C318" t="s">
        <v>24</v>
      </c>
      <c r="D318" t="s">
        <v>23</v>
      </c>
      <c r="E318" t="str">
        <f>tblData[[#This Row],[Company]]&amp;"|"&amp;tblData[[#This Row],[Line item as reported]]</f>
        <v>Empire|Inventories</v>
      </c>
      <c r="F318" t="str">
        <f>_xlfn.XLOOKUP(tblData[[#This Row],[Map key]],tblMap[Map key],tblMap[Standard line item],"UNMAPPED")</f>
        <v>Inventories</v>
      </c>
      <c r="G318" s="9">
        <v>1772</v>
      </c>
      <c r="H318" t="s">
        <v>120</v>
      </c>
      <c r="I318">
        <v>55</v>
      </c>
    </row>
    <row r="319" spans="1:9" x14ac:dyDescent="0.35">
      <c r="A319" t="s">
        <v>61</v>
      </c>
      <c r="B319">
        <v>2024</v>
      </c>
      <c r="C319" t="s">
        <v>24</v>
      </c>
      <c r="D319" t="s">
        <v>25</v>
      </c>
      <c r="E319" t="str">
        <f>tblData[[#This Row],[Company]]&amp;"|"&amp;tblData[[#This Row],[Line item as reported]]</f>
        <v>Empire|Total current assets</v>
      </c>
      <c r="F319" t="str">
        <f>_xlfn.XLOOKUP(tblData[[#This Row],[Map key]],tblMap[Map key],tblMap[Standard line item],"UNMAPPED")</f>
        <v>Total current assets</v>
      </c>
      <c r="G319" s="9">
        <v>3104</v>
      </c>
      <c r="H319" t="s">
        <v>120</v>
      </c>
      <c r="I319">
        <v>55</v>
      </c>
    </row>
    <row r="320" spans="1:9" x14ac:dyDescent="0.35">
      <c r="A320" t="s">
        <v>61</v>
      </c>
      <c r="B320">
        <v>2024</v>
      </c>
      <c r="C320" t="s">
        <v>24</v>
      </c>
      <c r="D320" t="s">
        <v>26</v>
      </c>
      <c r="E320" t="str">
        <f>tblData[[#This Row],[Company]]&amp;"|"&amp;tblData[[#This Row],[Line item as reported]]</f>
        <v>Empire|Total assets</v>
      </c>
      <c r="F320" t="str">
        <f>_xlfn.XLOOKUP(tblData[[#This Row],[Map key]],tblMap[Map key],tblMap[Standard line item],"UNMAPPED")</f>
        <v>Total assets</v>
      </c>
      <c r="G320" s="9">
        <v>16790</v>
      </c>
      <c r="H320" t="s">
        <v>120</v>
      </c>
      <c r="I320">
        <v>55</v>
      </c>
    </row>
    <row r="321" spans="1:9" x14ac:dyDescent="0.35">
      <c r="A321" t="s">
        <v>61</v>
      </c>
      <c r="B321">
        <v>2024</v>
      </c>
      <c r="C321" t="s">
        <v>24</v>
      </c>
      <c r="D321" t="s">
        <v>27</v>
      </c>
      <c r="E321" t="str">
        <f>tblData[[#This Row],[Company]]&amp;"|"&amp;tblData[[#This Row],[Line item as reported]]</f>
        <v>Empire|Total current liabilities</v>
      </c>
      <c r="F321" t="str">
        <f>_xlfn.XLOOKUP(tblData[[#This Row],[Map key]],tblMap[Map key],tblMap[Standard line item],"UNMAPPED")</f>
        <v>Total current liabilities</v>
      </c>
      <c r="G321" s="9">
        <v>3891</v>
      </c>
      <c r="H321" t="s">
        <v>120</v>
      </c>
      <c r="I321">
        <v>55</v>
      </c>
    </row>
    <row r="322" spans="1:9" x14ac:dyDescent="0.35">
      <c r="A322" t="s">
        <v>61</v>
      </c>
      <c r="B322">
        <v>2024</v>
      </c>
      <c r="C322" t="s">
        <v>24</v>
      </c>
      <c r="D322" t="s">
        <v>28</v>
      </c>
      <c r="E322" t="str">
        <f>tblData[[#This Row],[Company]]&amp;"|"&amp;tblData[[#This Row],[Line item as reported]]</f>
        <v>Empire|Total liabilities</v>
      </c>
      <c r="F322" t="str">
        <f>_xlfn.XLOOKUP(tblData[[#This Row],[Map key]],tblMap[Map key],tblMap[Standard line item],"UNMAPPED")</f>
        <v>Total liabilities</v>
      </c>
      <c r="G322" s="9">
        <v>11321</v>
      </c>
      <c r="H322" t="s">
        <v>120</v>
      </c>
      <c r="I322">
        <v>55</v>
      </c>
    </row>
    <row r="323" spans="1:9" x14ac:dyDescent="0.35">
      <c r="A323" t="s">
        <v>61</v>
      </c>
      <c r="B323">
        <v>2024</v>
      </c>
      <c r="C323" t="s">
        <v>24</v>
      </c>
      <c r="D323" t="s">
        <v>29</v>
      </c>
      <c r="E323" t="str">
        <f>tblData[[#This Row],[Company]]&amp;"|"&amp;tblData[[#This Row],[Line item as reported]]</f>
        <v>Empire|Total equity</v>
      </c>
      <c r="F323" t="str">
        <f>_xlfn.XLOOKUP(tblData[[#This Row],[Map key]],tblMap[Map key],tblMap[Standard line item],"UNMAPPED")</f>
        <v>Total equity</v>
      </c>
      <c r="G323" s="9">
        <v>5469</v>
      </c>
      <c r="H323" t="s">
        <v>120</v>
      </c>
      <c r="I323">
        <v>55</v>
      </c>
    </row>
    <row r="324" spans="1:9" x14ac:dyDescent="0.35">
      <c r="A324" t="s">
        <v>61</v>
      </c>
      <c r="B324">
        <v>2024</v>
      </c>
      <c r="C324" t="s">
        <v>24</v>
      </c>
      <c r="D324" t="s">
        <v>70</v>
      </c>
      <c r="E324" t="str">
        <f>tblData[[#This Row],[Company]]&amp;"|"&amp;tblData[[#This Row],[Line item as reported]]</f>
        <v>Empire|Total equity attributable to Owners of the Company</v>
      </c>
      <c r="F324" t="str">
        <f>_xlfn.XLOOKUP(tblData[[#This Row],[Map key]],tblMap[Map key],tblMap[Standard line item],"UNMAPPED")</f>
        <v>Equity attributable to shareholders</v>
      </c>
      <c r="G324" s="9">
        <v>5341</v>
      </c>
      <c r="H324" t="s">
        <v>120</v>
      </c>
      <c r="I324">
        <v>55</v>
      </c>
    </row>
    <row r="325" spans="1:9" x14ac:dyDescent="0.35">
      <c r="A325" t="s">
        <v>61</v>
      </c>
      <c r="B325">
        <v>2024</v>
      </c>
      <c r="C325" t="s">
        <v>34</v>
      </c>
      <c r="D325" t="s">
        <v>32</v>
      </c>
      <c r="E325" t="str">
        <f>tblData[[#This Row],[Company]]&amp;"|"&amp;tblData[[#This Row],[Line item as reported]]</f>
        <v>Empire|Cash flows from operating activities</v>
      </c>
      <c r="F325" t="str">
        <f>_xlfn.XLOOKUP(tblData[[#This Row],[Map key]],tblMap[Map key],tblMap[Standard line item],"UNMAPPED")</f>
        <v>Cash from operating activities</v>
      </c>
      <c r="G325" s="9">
        <v>2073</v>
      </c>
      <c r="H325" t="s">
        <v>120</v>
      </c>
      <c r="I325">
        <v>59</v>
      </c>
    </row>
    <row r="326" spans="1:9" x14ac:dyDescent="0.35">
      <c r="A326" t="s">
        <v>61</v>
      </c>
      <c r="B326">
        <v>2024</v>
      </c>
      <c r="C326" t="s">
        <v>34</v>
      </c>
      <c r="D326" t="s">
        <v>66</v>
      </c>
      <c r="E326" t="str">
        <f>tblData[[#This Row],[Company]]&amp;"|"&amp;tblData[[#This Row],[Line item as reported]]</f>
        <v>Empire|Property, equipment and investment property purchases</v>
      </c>
      <c r="F326" t="str">
        <f>_xlfn.XLOOKUP(tblData[[#This Row],[Map key]],tblMap[Map key],tblMap[Standard line item],"UNMAPPED")</f>
        <v>Purchases of fixed assets</v>
      </c>
      <c r="G326" s="9">
        <v>705</v>
      </c>
      <c r="H326" t="s">
        <v>120</v>
      </c>
      <c r="I326">
        <v>59</v>
      </c>
    </row>
    <row r="327" spans="1:9" x14ac:dyDescent="0.35">
      <c r="A327" t="s">
        <v>61</v>
      </c>
      <c r="B327">
        <v>2024</v>
      </c>
      <c r="C327" t="s">
        <v>34</v>
      </c>
      <c r="D327" t="s">
        <v>69</v>
      </c>
      <c r="E327" t="str">
        <f>tblData[[#This Row],[Company]]&amp;"|"&amp;tblData[[#This Row],[Line item as reported]]</f>
        <v>Empire|Intangible purchases</v>
      </c>
      <c r="F327" t="str">
        <f>_xlfn.XLOOKUP(tblData[[#This Row],[Map key]],tblMap[Map key],tblMap[Standard line item],"UNMAPPED")</f>
        <v>Purchases of intangible assets</v>
      </c>
      <c r="G327" s="9">
        <v>94</v>
      </c>
      <c r="H327" t="s">
        <v>120</v>
      </c>
      <c r="I327">
        <v>59</v>
      </c>
    </row>
    <row r="328" spans="1:9" x14ac:dyDescent="0.35">
      <c r="A328" t="s">
        <v>61</v>
      </c>
      <c r="B328">
        <v>2024</v>
      </c>
      <c r="C328" t="s">
        <v>34</v>
      </c>
      <c r="D328" t="s">
        <v>68</v>
      </c>
      <c r="E328" t="str">
        <f>tblData[[#This Row],[Company]]&amp;"|"&amp;tblData[[#This Row],[Line item as reported]]</f>
        <v>Empire|Payments of lease liabilities (principal portion)</v>
      </c>
      <c r="F328" t="str">
        <f>_xlfn.XLOOKUP(tblData[[#This Row],[Map key]],tblMap[Map key],tblMap[Standard line item],"UNMAPPED")</f>
        <v>Lease principal payments</v>
      </c>
      <c r="G328" s="9">
        <v>527</v>
      </c>
      <c r="H328" t="s">
        <v>120</v>
      </c>
      <c r="I328">
        <v>59</v>
      </c>
    </row>
    <row r="329" spans="1:9" x14ac:dyDescent="0.35">
      <c r="A329" t="s">
        <v>61</v>
      </c>
      <c r="B329">
        <v>2025</v>
      </c>
      <c r="C329" t="s">
        <v>10</v>
      </c>
      <c r="D329" t="s">
        <v>43</v>
      </c>
      <c r="E329" t="str">
        <f>tblData[[#This Row],[Company]]&amp;"|"&amp;tblData[[#This Row],[Line item as reported]]</f>
        <v>Empire|Sales</v>
      </c>
      <c r="F329" t="str">
        <f>_xlfn.XLOOKUP(tblData[[#This Row],[Map key]],tblMap[Map key],tblMap[Standard line item],"UNMAPPED")</f>
        <v>Revenue</v>
      </c>
      <c r="G329" s="9">
        <v>31277</v>
      </c>
      <c r="H329" t="s">
        <v>120</v>
      </c>
      <c r="I329">
        <v>56</v>
      </c>
    </row>
    <row r="330" spans="1:9" x14ac:dyDescent="0.35">
      <c r="A330" t="s">
        <v>61</v>
      </c>
      <c r="B330">
        <v>2025</v>
      </c>
      <c r="C330" t="s">
        <v>10</v>
      </c>
      <c r="D330" t="s">
        <v>12</v>
      </c>
      <c r="E330" t="str">
        <f>tblData[[#This Row],[Company]]&amp;"|"&amp;tblData[[#This Row],[Line item as reported]]</f>
        <v>Empire|Cost of sales</v>
      </c>
      <c r="F330" t="str">
        <f>_xlfn.XLOOKUP(tblData[[#This Row],[Map key]],tblMap[Map key],tblMap[Standard line item],"UNMAPPED")</f>
        <v>Cost of sales</v>
      </c>
      <c r="G330" s="9">
        <v>22895</v>
      </c>
      <c r="H330" t="s">
        <v>120</v>
      </c>
      <c r="I330">
        <v>56</v>
      </c>
    </row>
    <row r="331" spans="1:9" x14ac:dyDescent="0.35">
      <c r="A331" t="s">
        <v>61</v>
      </c>
      <c r="B331">
        <v>2025</v>
      </c>
      <c r="C331" t="s">
        <v>10</v>
      </c>
      <c r="D331" t="s">
        <v>62</v>
      </c>
      <c r="E331" t="str">
        <f>tblData[[#This Row],[Company]]&amp;"|"&amp;tblData[[#This Row],[Line item as reported]]</f>
        <v>Empire|Finance costs, net</v>
      </c>
      <c r="F331" t="str">
        <f>_xlfn.XLOOKUP(tblData[[#This Row],[Map key]],tblMap[Map key],tblMap[Standard line item],"UNMAPPED")</f>
        <v>Net finance costs</v>
      </c>
      <c r="G331" s="9">
        <v>294</v>
      </c>
      <c r="H331" t="s">
        <v>120</v>
      </c>
      <c r="I331">
        <v>56</v>
      </c>
    </row>
    <row r="332" spans="1:9" x14ac:dyDescent="0.35">
      <c r="A332" t="s">
        <v>61</v>
      </c>
      <c r="B332">
        <v>2025</v>
      </c>
      <c r="C332" t="s">
        <v>10</v>
      </c>
      <c r="D332" t="s">
        <v>15</v>
      </c>
      <c r="E332" t="str">
        <f>tblData[[#This Row],[Company]]&amp;"|"&amp;tblData[[#This Row],[Line item as reported]]</f>
        <v>Empire|Earnings before income taxes</v>
      </c>
      <c r="F332" t="str">
        <f>_xlfn.XLOOKUP(tblData[[#This Row],[Map key]],tblMap[Map key],tblMap[Standard line item],"UNMAPPED")</f>
        <v>Earnings before income taxes</v>
      </c>
      <c r="G332" s="9">
        <v>995</v>
      </c>
      <c r="H332" t="s">
        <v>120</v>
      </c>
      <c r="I332">
        <v>56</v>
      </c>
    </row>
    <row r="333" spans="1:9" x14ac:dyDescent="0.35">
      <c r="A333" t="s">
        <v>61</v>
      </c>
      <c r="B333">
        <v>2025</v>
      </c>
      <c r="C333" t="s">
        <v>10</v>
      </c>
      <c r="D333" t="s">
        <v>63</v>
      </c>
      <c r="E333" t="str">
        <f>tblData[[#This Row],[Company]]&amp;"|"&amp;tblData[[#This Row],[Line item as reported]]</f>
        <v>Empire|Income tax expense</v>
      </c>
      <c r="F333" t="str">
        <f>_xlfn.XLOOKUP(tblData[[#This Row],[Map key]],tblMap[Map key],tblMap[Standard line item],"UNMAPPED")</f>
        <v>Income taxes</v>
      </c>
      <c r="G333" s="9">
        <v>249</v>
      </c>
      <c r="H333" t="s">
        <v>120</v>
      </c>
      <c r="I333">
        <v>56</v>
      </c>
    </row>
    <row r="334" spans="1:9" x14ac:dyDescent="0.35">
      <c r="A334" t="s">
        <v>61</v>
      </c>
      <c r="B334">
        <v>2025</v>
      </c>
      <c r="C334" t="s">
        <v>10</v>
      </c>
      <c r="D334" t="s">
        <v>17</v>
      </c>
      <c r="E334" t="str">
        <f>tblData[[#This Row],[Company]]&amp;"|"&amp;tblData[[#This Row],[Line item as reported]]</f>
        <v>Empire|No discontinued operations</v>
      </c>
      <c r="F334" t="str">
        <f>_xlfn.XLOOKUP(tblData[[#This Row],[Map key]],tblMap[Map key],tblMap[Standard line item],"UNMAPPED")</f>
        <v>Net earnings from discontinued operations</v>
      </c>
      <c r="G334" s="9">
        <v>0</v>
      </c>
      <c r="H334" t="s">
        <v>120</v>
      </c>
      <c r="I334">
        <v>56</v>
      </c>
    </row>
    <row r="335" spans="1:9" x14ac:dyDescent="0.35">
      <c r="A335" t="s">
        <v>61</v>
      </c>
      <c r="B335">
        <v>2025</v>
      </c>
      <c r="C335" t="s">
        <v>10</v>
      </c>
      <c r="D335" t="s">
        <v>20</v>
      </c>
      <c r="E335" t="str">
        <f>tblData[[#This Row],[Company]]&amp;"|"&amp;tblData[[#This Row],[Line item as reported]]</f>
        <v>Empire|Net earnings</v>
      </c>
      <c r="F335" t="str">
        <f>_xlfn.XLOOKUP(tblData[[#This Row],[Map key]],tblMap[Map key],tblMap[Standard line item],"UNMAPPED")</f>
        <v>Net earnings</v>
      </c>
      <c r="G335" s="9">
        <v>746</v>
      </c>
      <c r="H335" t="s">
        <v>120</v>
      </c>
      <c r="I335">
        <v>56</v>
      </c>
    </row>
    <row r="336" spans="1:9" x14ac:dyDescent="0.35">
      <c r="A336" t="s">
        <v>61</v>
      </c>
      <c r="B336">
        <v>2025</v>
      </c>
      <c r="C336" t="s">
        <v>10</v>
      </c>
      <c r="D336" t="s">
        <v>64</v>
      </c>
      <c r="E336" t="str">
        <f>tblData[[#This Row],[Company]]&amp;"|"&amp;tblData[[#This Row],[Line item as reported]]</f>
        <v>Empire|Owners of the Company</v>
      </c>
      <c r="F336" t="str">
        <f>_xlfn.XLOOKUP(tblData[[#This Row],[Map key]],tblMap[Map key],tblMap[Standard line item],"UNMAPPED")</f>
        <v>Net earnings attributable to shareholders</v>
      </c>
      <c r="G336" s="9">
        <v>700</v>
      </c>
      <c r="H336" t="s">
        <v>120</v>
      </c>
      <c r="I336">
        <v>56</v>
      </c>
    </row>
    <row r="337" spans="1:9" x14ac:dyDescent="0.35">
      <c r="A337" t="s">
        <v>61</v>
      </c>
      <c r="B337">
        <v>2025</v>
      </c>
      <c r="C337" t="s">
        <v>24</v>
      </c>
      <c r="D337" t="s">
        <v>23</v>
      </c>
      <c r="E337" t="str">
        <f>tblData[[#This Row],[Company]]&amp;"|"&amp;tblData[[#This Row],[Line item as reported]]</f>
        <v>Empire|Inventories</v>
      </c>
      <c r="F337" t="str">
        <f>_xlfn.XLOOKUP(tblData[[#This Row],[Map key]],tblMap[Map key],tblMap[Standard line item],"UNMAPPED")</f>
        <v>Inventories</v>
      </c>
      <c r="G337" s="9">
        <v>1833</v>
      </c>
      <c r="H337" t="s">
        <v>120</v>
      </c>
      <c r="I337">
        <v>55</v>
      </c>
    </row>
    <row r="338" spans="1:9" x14ac:dyDescent="0.35">
      <c r="A338" t="s">
        <v>61</v>
      </c>
      <c r="B338">
        <v>2025</v>
      </c>
      <c r="C338" t="s">
        <v>24</v>
      </c>
      <c r="D338" t="s">
        <v>25</v>
      </c>
      <c r="E338" t="str">
        <f>tblData[[#This Row],[Company]]&amp;"|"&amp;tblData[[#This Row],[Line item as reported]]</f>
        <v>Empire|Total current assets</v>
      </c>
      <c r="F338" t="str">
        <f>_xlfn.XLOOKUP(tblData[[#This Row],[Map key]],tblMap[Map key],tblMap[Standard line item],"UNMAPPED")</f>
        <v>Total current assets</v>
      </c>
      <c r="G338" s="9">
        <v>3134</v>
      </c>
      <c r="H338" t="s">
        <v>120</v>
      </c>
      <c r="I338">
        <v>55</v>
      </c>
    </row>
    <row r="339" spans="1:9" x14ac:dyDescent="0.35">
      <c r="A339" t="s">
        <v>61</v>
      </c>
      <c r="B339">
        <v>2025</v>
      </c>
      <c r="C339" t="s">
        <v>24</v>
      </c>
      <c r="D339" t="s">
        <v>26</v>
      </c>
      <c r="E339" t="str">
        <f>tblData[[#This Row],[Company]]&amp;"|"&amp;tblData[[#This Row],[Line item as reported]]</f>
        <v>Empire|Total assets</v>
      </c>
      <c r="F339" t="str">
        <f>_xlfn.XLOOKUP(tblData[[#This Row],[Map key]],tblMap[Map key],tblMap[Standard line item],"UNMAPPED")</f>
        <v>Total assets</v>
      </c>
      <c r="G339" s="9">
        <v>17019</v>
      </c>
      <c r="H339" t="s">
        <v>120</v>
      </c>
      <c r="I339">
        <v>55</v>
      </c>
    </row>
    <row r="340" spans="1:9" x14ac:dyDescent="0.35">
      <c r="A340" t="s">
        <v>61</v>
      </c>
      <c r="B340">
        <v>2025</v>
      </c>
      <c r="C340" t="s">
        <v>24</v>
      </c>
      <c r="D340" t="s">
        <v>27</v>
      </c>
      <c r="E340" t="str">
        <f>tblData[[#This Row],[Company]]&amp;"|"&amp;tblData[[#This Row],[Line item as reported]]</f>
        <v>Empire|Total current liabilities</v>
      </c>
      <c r="F340" t="str">
        <f>_xlfn.XLOOKUP(tblData[[#This Row],[Map key]],tblMap[Map key],tblMap[Standard line item],"UNMAPPED")</f>
        <v>Total current liabilities</v>
      </c>
      <c r="G340" s="9">
        <v>4096</v>
      </c>
      <c r="H340" t="s">
        <v>120</v>
      </c>
      <c r="I340">
        <v>55</v>
      </c>
    </row>
    <row r="341" spans="1:9" x14ac:dyDescent="0.35">
      <c r="A341" t="s">
        <v>61</v>
      </c>
      <c r="B341">
        <v>2025</v>
      </c>
      <c r="C341" t="s">
        <v>24</v>
      </c>
      <c r="D341" t="s">
        <v>28</v>
      </c>
      <c r="E341" t="str">
        <f>tblData[[#This Row],[Company]]&amp;"|"&amp;tblData[[#This Row],[Line item as reported]]</f>
        <v>Empire|Total liabilities</v>
      </c>
      <c r="F341" t="str">
        <f>_xlfn.XLOOKUP(tblData[[#This Row],[Map key]],tblMap[Map key],tblMap[Standard line item],"UNMAPPED")</f>
        <v>Total liabilities</v>
      </c>
      <c r="G341" s="9">
        <v>11475</v>
      </c>
      <c r="H341" t="s">
        <v>120</v>
      </c>
      <c r="I341">
        <v>55</v>
      </c>
    </row>
    <row r="342" spans="1:9" x14ac:dyDescent="0.35">
      <c r="A342" t="s">
        <v>61</v>
      </c>
      <c r="B342">
        <v>2025</v>
      </c>
      <c r="C342" t="s">
        <v>24</v>
      </c>
      <c r="D342" t="s">
        <v>29</v>
      </c>
      <c r="E342" t="str">
        <f>tblData[[#This Row],[Company]]&amp;"|"&amp;tblData[[#This Row],[Line item as reported]]</f>
        <v>Empire|Total equity</v>
      </c>
      <c r="F342" t="str">
        <f>_xlfn.XLOOKUP(tblData[[#This Row],[Map key]],tblMap[Map key],tblMap[Standard line item],"UNMAPPED")</f>
        <v>Total equity</v>
      </c>
      <c r="G342" s="9">
        <v>5544</v>
      </c>
      <c r="H342" t="s">
        <v>120</v>
      </c>
      <c r="I342">
        <v>55</v>
      </c>
    </row>
    <row r="343" spans="1:9" x14ac:dyDescent="0.35">
      <c r="A343" t="s">
        <v>61</v>
      </c>
      <c r="B343">
        <v>2025</v>
      </c>
      <c r="C343" t="s">
        <v>24</v>
      </c>
      <c r="D343" t="s">
        <v>70</v>
      </c>
      <c r="E343" t="str">
        <f>tblData[[#This Row],[Company]]&amp;"|"&amp;tblData[[#This Row],[Line item as reported]]</f>
        <v>Empire|Total equity attributable to Owners of the Company</v>
      </c>
      <c r="F343" t="str">
        <f>_xlfn.XLOOKUP(tblData[[#This Row],[Map key]],tblMap[Map key],tblMap[Standard line item],"UNMAPPED")</f>
        <v>Equity attributable to shareholders</v>
      </c>
      <c r="G343" s="9">
        <v>5410</v>
      </c>
      <c r="H343" t="s">
        <v>120</v>
      </c>
      <c r="I343">
        <v>55</v>
      </c>
    </row>
    <row r="344" spans="1:9" x14ac:dyDescent="0.35">
      <c r="A344" t="s">
        <v>61</v>
      </c>
      <c r="B344">
        <v>2025</v>
      </c>
      <c r="C344" t="s">
        <v>34</v>
      </c>
      <c r="D344" t="s">
        <v>32</v>
      </c>
      <c r="E344" t="str">
        <f>tblData[[#This Row],[Company]]&amp;"|"&amp;tblData[[#This Row],[Line item as reported]]</f>
        <v>Empire|Cash flows from operating activities</v>
      </c>
      <c r="F344" t="str">
        <f>_xlfn.XLOOKUP(tblData[[#This Row],[Map key]],tblMap[Map key],tblMap[Standard line item],"UNMAPPED")</f>
        <v>Cash from operating activities</v>
      </c>
      <c r="G344" s="9">
        <v>2127</v>
      </c>
      <c r="H344" t="s">
        <v>120</v>
      </c>
      <c r="I344">
        <v>59</v>
      </c>
    </row>
    <row r="345" spans="1:9" x14ac:dyDescent="0.35">
      <c r="A345" t="s">
        <v>61</v>
      </c>
      <c r="B345">
        <v>2025</v>
      </c>
      <c r="C345" t="s">
        <v>34</v>
      </c>
      <c r="D345" t="s">
        <v>66</v>
      </c>
      <c r="E345" t="str">
        <f>tblData[[#This Row],[Company]]&amp;"|"&amp;tblData[[#This Row],[Line item as reported]]</f>
        <v>Empire|Property, equipment and investment property purchases</v>
      </c>
      <c r="F345" t="str">
        <f>_xlfn.XLOOKUP(tblData[[#This Row],[Map key]],tblMap[Map key],tblMap[Standard line item],"UNMAPPED")</f>
        <v>Purchases of fixed assets</v>
      </c>
      <c r="G345" s="9">
        <v>640</v>
      </c>
      <c r="H345" t="s">
        <v>120</v>
      </c>
      <c r="I345">
        <v>59</v>
      </c>
    </row>
    <row r="346" spans="1:9" x14ac:dyDescent="0.35">
      <c r="A346" t="s">
        <v>61</v>
      </c>
      <c r="B346">
        <v>2025</v>
      </c>
      <c r="C346" t="s">
        <v>34</v>
      </c>
      <c r="D346" t="s">
        <v>69</v>
      </c>
      <c r="E346" t="str">
        <f>tblData[[#This Row],[Company]]&amp;"|"&amp;tblData[[#This Row],[Line item as reported]]</f>
        <v>Empire|Intangible purchases</v>
      </c>
      <c r="F346" t="str">
        <f>_xlfn.XLOOKUP(tblData[[#This Row],[Map key]],tblMap[Map key],tblMap[Standard line item],"UNMAPPED")</f>
        <v>Purchases of intangible assets</v>
      </c>
      <c r="G346" s="9">
        <v>137</v>
      </c>
      <c r="H346" t="s">
        <v>120</v>
      </c>
      <c r="I346">
        <v>59</v>
      </c>
    </row>
    <row r="347" spans="1:9" x14ac:dyDescent="0.35">
      <c r="A347" t="s">
        <v>61</v>
      </c>
      <c r="B347">
        <v>2025</v>
      </c>
      <c r="C347" t="s">
        <v>34</v>
      </c>
      <c r="D347" t="s">
        <v>68</v>
      </c>
      <c r="E347" t="str">
        <f>tblData[[#This Row],[Company]]&amp;"|"&amp;tblData[[#This Row],[Line item as reported]]</f>
        <v>Empire|Payments of lease liabilities (principal portion)</v>
      </c>
      <c r="F347" t="str">
        <f>_xlfn.XLOOKUP(tblData[[#This Row],[Map key]],tblMap[Map key],tblMap[Standard line item],"UNMAPPED")</f>
        <v>Lease principal payments</v>
      </c>
      <c r="G347" s="9">
        <v>548</v>
      </c>
      <c r="H347" t="s">
        <v>120</v>
      </c>
      <c r="I347">
        <v>59</v>
      </c>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1EEF-65E3-4E81-B6D0-1A41B9BC3B4F}">
  <sheetPr>
    <tabColor rgb="FF0046BE"/>
  </sheetPr>
  <dimension ref="A1:F75"/>
  <sheetViews>
    <sheetView workbookViewId="0"/>
  </sheetViews>
  <sheetFormatPr defaultRowHeight="14.5" x14ac:dyDescent="0.35"/>
  <cols>
    <col min="1" max="1" width="50.6328125" customWidth="1"/>
    <col min="2" max="2" width="10.6328125" customWidth="1"/>
    <col min="3" max="3" width="58.6328125" customWidth="1"/>
    <col min="4" max="4" width="40.6328125" customWidth="1"/>
    <col min="5" max="5" width="10.6328125" customWidth="1"/>
    <col min="6" max="6" width="80.6328125" customWidth="1"/>
  </cols>
  <sheetData>
    <row r="1" spans="1:6" ht="21" x14ac:dyDescent="0.35">
      <c r="A1" s="1" t="s">
        <v>0</v>
      </c>
    </row>
    <row r="2" spans="1:6" x14ac:dyDescent="0.35">
      <c r="A2" s="3" t="s">
        <v>1</v>
      </c>
    </row>
    <row r="5" spans="1:6" x14ac:dyDescent="0.35">
      <c r="A5" t="s">
        <v>2</v>
      </c>
      <c r="B5" t="s">
        <v>3</v>
      </c>
      <c r="C5" t="s">
        <v>4</v>
      </c>
      <c r="D5" t="s">
        <v>5</v>
      </c>
      <c r="E5" t="s">
        <v>6</v>
      </c>
      <c r="F5" t="s">
        <v>7</v>
      </c>
    </row>
    <row r="6" spans="1:6" x14ac:dyDescent="0.35">
      <c r="A6" t="str">
        <f>tblMap[[#This Row],[Company]]&amp;"|"&amp;tblMap[[#This Row],[Line item as reported]]</f>
        <v>Loblaw|Revenue</v>
      </c>
      <c r="B6" t="s">
        <v>8</v>
      </c>
      <c r="C6" t="s">
        <v>9</v>
      </c>
      <c r="D6" t="s">
        <v>9</v>
      </c>
      <c r="E6" t="s">
        <v>10</v>
      </c>
      <c r="F6" s="4"/>
    </row>
    <row r="7" spans="1:6" x14ac:dyDescent="0.35">
      <c r="A7" t="str">
        <f>tblMap[[#This Row],[Company]]&amp;"|"&amp;tblMap[[#This Row],[Line item as reported]]</f>
        <v>Loblaw|Cost of merchandise inventories sold</v>
      </c>
      <c r="B7" t="s">
        <v>8</v>
      </c>
      <c r="C7" t="s">
        <v>11</v>
      </c>
      <c r="D7" t="s">
        <v>12</v>
      </c>
      <c r="E7" t="s">
        <v>10</v>
      </c>
      <c r="F7" s="4"/>
    </row>
    <row r="8" spans="1:6" x14ac:dyDescent="0.35">
      <c r="A8" t="str">
        <f>tblMap[[#This Row],[Company]]&amp;"|"&amp;tblMap[[#This Row],[Line item as reported]]</f>
        <v>Loblaw|Net interest expense and other financing charges</v>
      </c>
      <c r="B8" t="s">
        <v>8</v>
      </c>
      <c r="C8" t="s">
        <v>13</v>
      </c>
      <c r="D8" t="s">
        <v>14</v>
      </c>
      <c r="E8" t="s">
        <v>10</v>
      </c>
      <c r="F8" s="4"/>
    </row>
    <row r="9" spans="1:6" x14ac:dyDescent="0.35">
      <c r="A9" t="str">
        <f>tblMap[[#This Row],[Company]]&amp;"|"&amp;tblMap[[#This Row],[Line item as reported]]</f>
        <v>Loblaw|Earnings before income taxes</v>
      </c>
      <c r="B9" t="s">
        <v>8</v>
      </c>
      <c r="C9" t="s">
        <v>15</v>
      </c>
      <c r="D9" t="s">
        <v>15</v>
      </c>
      <c r="E9" t="s">
        <v>10</v>
      </c>
      <c r="F9" s="4"/>
    </row>
    <row r="10" spans="1:6" x14ac:dyDescent="0.35">
      <c r="A10" t="str">
        <f>tblMap[[#This Row],[Company]]&amp;"|"&amp;tblMap[[#This Row],[Line item as reported]]</f>
        <v>Loblaw|Income taxes</v>
      </c>
      <c r="B10" t="s">
        <v>8</v>
      </c>
      <c r="C10" t="s">
        <v>16</v>
      </c>
      <c r="D10" t="s">
        <v>16</v>
      </c>
      <c r="E10" t="s">
        <v>10</v>
      </c>
      <c r="F10" s="4"/>
    </row>
    <row r="11" spans="1:6" x14ac:dyDescent="0.35">
      <c r="A11" t="str">
        <f>tblMap[[#This Row],[Company]]&amp;"|"&amp;tblMap[[#This Row],[Line item as reported]]</f>
        <v>Loblaw|No discontinued operations</v>
      </c>
      <c r="B11" t="s">
        <v>8</v>
      </c>
      <c r="C11" t="s">
        <v>17</v>
      </c>
      <c r="D11" t="s">
        <v>18</v>
      </c>
      <c r="E11" t="s">
        <v>10</v>
      </c>
      <c r="F11" s="4" t="s">
        <v>19</v>
      </c>
    </row>
    <row r="12" spans="1:6" x14ac:dyDescent="0.35">
      <c r="A12" t="str">
        <f>tblMap[[#This Row],[Company]]&amp;"|"&amp;tblMap[[#This Row],[Line item as reported]]</f>
        <v>Loblaw|Net earnings</v>
      </c>
      <c r="B12" t="s">
        <v>8</v>
      </c>
      <c r="C12" t="s">
        <v>20</v>
      </c>
      <c r="D12" t="s">
        <v>20</v>
      </c>
      <c r="E12" t="s">
        <v>10</v>
      </c>
      <c r="F12" s="4"/>
    </row>
    <row r="13" spans="1:6" x14ac:dyDescent="0.35">
      <c r="A13" t="str">
        <f>tblMap[[#This Row],[Company]]&amp;"|"&amp;tblMap[[#This Row],[Line item as reported]]</f>
        <v>Loblaw|Shareholders of the Company</v>
      </c>
      <c r="B13" t="s">
        <v>8</v>
      </c>
      <c r="C13" t="s">
        <v>21</v>
      </c>
      <c r="D13" t="s">
        <v>22</v>
      </c>
      <c r="E13" t="s">
        <v>10</v>
      </c>
      <c r="F13" s="4"/>
    </row>
    <row r="14" spans="1:6" x14ac:dyDescent="0.35">
      <c r="A14" t="str">
        <f>tblMap[[#This Row],[Company]]&amp;"|"&amp;tblMap[[#This Row],[Line item as reported]]</f>
        <v>Loblaw|Inventories</v>
      </c>
      <c r="B14" t="s">
        <v>8</v>
      </c>
      <c r="C14" t="s">
        <v>23</v>
      </c>
      <c r="D14" t="s">
        <v>23</v>
      </c>
      <c r="E14" t="s">
        <v>24</v>
      </c>
      <c r="F14" s="4"/>
    </row>
    <row r="15" spans="1:6" x14ac:dyDescent="0.35">
      <c r="A15" t="str">
        <f>tblMap[[#This Row],[Company]]&amp;"|"&amp;tblMap[[#This Row],[Line item as reported]]</f>
        <v>Loblaw|Total current assets</v>
      </c>
      <c r="B15" t="s">
        <v>8</v>
      </c>
      <c r="C15" t="s">
        <v>25</v>
      </c>
      <c r="D15" t="s">
        <v>25</v>
      </c>
      <c r="E15" t="s">
        <v>24</v>
      </c>
      <c r="F15" s="4"/>
    </row>
    <row r="16" spans="1:6" x14ac:dyDescent="0.35">
      <c r="A16" t="str">
        <f>tblMap[[#This Row],[Company]]&amp;"|"&amp;tblMap[[#This Row],[Line item as reported]]</f>
        <v>Loblaw|Total assets</v>
      </c>
      <c r="B16" t="s">
        <v>8</v>
      </c>
      <c r="C16" t="s">
        <v>26</v>
      </c>
      <c r="D16" t="s">
        <v>26</v>
      </c>
      <c r="E16" t="s">
        <v>24</v>
      </c>
      <c r="F16" s="4"/>
    </row>
    <row r="17" spans="1:6" x14ac:dyDescent="0.35">
      <c r="A17" t="str">
        <f>tblMap[[#This Row],[Company]]&amp;"|"&amp;tblMap[[#This Row],[Line item as reported]]</f>
        <v>Loblaw|Total current liabilities</v>
      </c>
      <c r="B17" t="s">
        <v>8</v>
      </c>
      <c r="C17" t="s">
        <v>27</v>
      </c>
      <c r="D17" t="s">
        <v>27</v>
      </c>
      <c r="E17" t="s">
        <v>24</v>
      </c>
      <c r="F17" s="4"/>
    </row>
    <row r="18" spans="1:6" x14ac:dyDescent="0.35">
      <c r="A18" t="str">
        <f>tblMap[[#This Row],[Company]]&amp;"|"&amp;tblMap[[#This Row],[Line item as reported]]</f>
        <v>Loblaw|Total liabilities</v>
      </c>
      <c r="B18" t="s">
        <v>8</v>
      </c>
      <c r="C18" t="s">
        <v>28</v>
      </c>
      <c r="D18" t="s">
        <v>28</v>
      </c>
      <c r="E18" t="s">
        <v>24</v>
      </c>
      <c r="F18" s="4"/>
    </row>
    <row r="19" spans="1:6" x14ac:dyDescent="0.35">
      <c r="A19" t="str">
        <f>tblMap[[#This Row],[Company]]&amp;"|"&amp;tblMap[[#This Row],[Line item as reported]]</f>
        <v>Loblaw|Total equity</v>
      </c>
      <c r="B19" t="s">
        <v>8</v>
      </c>
      <c r="C19" t="s">
        <v>29</v>
      </c>
      <c r="D19" t="s">
        <v>29</v>
      </c>
      <c r="E19" t="s">
        <v>24</v>
      </c>
      <c r="F19" s="4"/>
    </row>
    <row r="20" spans="1:6" x14ac:dyDescent="0.35">
      <c r="A20" t="str">
        <f>tblMap[[#This Row],[Company]]&amp;"|"&amp;tblMap[[#This Row],[Line item as reported]]</f>
        <v>Loblaw|Total equity attributable to shareholders of the Company</v>
      </c>
      <c r="B20" t="s">
        <v>8</v>
      </c>
      <c r="C20" t="s">
        <v>30</v>
      </c>
      <c r="D20" t="s">
        <v>31</v>
      </c>
      <c r="E20" t="s">
        <v>24</v>
      </c>
      <c r="F20" s="4"/>
    </row>
    <row r="21" spans="1:6" x14ac:dyDescent="0.35">
      <c r="A21" t="str">
        <f>tblMap[[#This Row],[Company]]&amp;"|"&amp;tblMap[[#This Row],[Line item as reported]]</f>
        <v>Loblaw|Cash flows from operating activities</v>
      </c>
      <c r="B21" t="s">
        <v>8</v>
      </c>
      <c r="C21" t="s">
        <v>32</v>
      </c>
      <c r="D21" t="s">
        <v>33</v>
      </c>
      <c r="E21" t="s">
        <v>34</v>
      </c>
      <c r="F21" s="4"/>
    </row>
    <row r="22" spans="1:6" x14ac:dyDescent="0.35">
      <c r="A22" t="str">
        <f>tblMap[[#This Row],[Company]]&amp;"|"&amp;tblMap[[#This Row],[Line item as reported]]</f>
        <v>Loblaw|Fixed asset purchases</v>
      </c>
      <c r="B22" t="s">
        <v>8</v>
      </c>
      <c r="C22" t="s">
        <v>35</v>
      </c>
      <c r="D22" t="s">
        <v>36</v>
      </c>
      <c r="E22" t="s">
        <v>34</v>
      </c>
      <c r="F22" s="4"/>
    </row>
    <row r="23" spans="1:6" x14ac:dyDescent="0.35">
      <c r="A23" t="str">
        <f>tblMap[[#This Row],[Company]]&amp;"|"&amp;tblMap[[#This Row],[Line item as reported]]</f>
        <v>Loblaw|Intangible asset additions</v>
      </c>
      <c r="B23" t="s">
        <v>8</v>
      </c>
      <c r="C23" t="s">
        <v>37</v>
      </c>
      <c r="D23" t="s">
        <v>38</v>
      </c>
      <c r="E23" t="s">
        <v>34</v>
      </c>
      <c r="F23" s="4"/>
    </row>
    <row r="24" spans="1:6" x14ac:dyDescent="0.35">
      <c r="A24" t="str">
        <f>tblMap[[#This Row],[Company]]&amp;"|"&amp;tblMap[[#This Row],[Line item as reported]]</f>
        <v>Loblaw|Cash rent paid on lease liabilities - Principal</v>
      </c>
      <c r="B24" t="s">
        <v>8</v>
      </c>
      <c r="C24" t="s">
        <v>39</v>
      </c>
      <c r="D24" t="s">
        <v>40</v>
      </c>
      <c r="E24" t="s">
        <v>34</v>
      </c>
      <c r="F24" s="4"/>
    </row>
    <row r="25" spans="1:6" x14ac:dyDescent="0.35">
      <c r="A25" t="str">
        <f>tblMap[[#This Row],[Company]]&amp;"|"&amp;tblMap[[#This Row],[Line item as reported]]</f>
        <v>Loblaw|Cost of sales</v>
      </c>
      <c r="B25" t="s">
        <v>8</v>
      </c>
      <c r="C25" t="s">
        <v>12</v>
      </c>
      <c r="D25" t="s">
        <v>12</v>
      </c>
      <c r="E25" t="s">
        <v>10</v>
      </c>
      <c r="F25" s="4"/>
    </row>
    <row r="26" spans="1:6" ht="29" x14ac:dyDescent="0.35">
      <c r="A26" t="str">
        <f>tblMap[[#This Row],[Company]]&amp;"|"&amp;tblMap[[#This Row],[Line item as reported]]</f>
        <v>Loblaw|Net earnings from discontinued operations</v>
      </c>
      <c r="B26" t="s">
        <v>8</v>
      </c>
      <c r="C26" t="s">
        <v>18</v>
      </c>
      <c r="D26" t="s">
        <v>18</v>
      </c>
      <c r="E26" t="s">
        <v>10</v>
      </c>
      <c r="F26" s="4" t="s">
        <v>41</v>
      </c>
    </row>
    <row r="27" spans="1:6" x14ac:dyDescent="0.35">
      <c r="A27" t="str">
        <f>tblMap[[#This Row],[Company]]&amp;"|"&amp;tblMap[[#This Row],[Line item as reported]]</f>
        <v>Metro|Sales</v>
      </c>
      <c r="B27" t="s">
        <v>42</v>
      </c>
      <c r="C27" t="s">
        <v>43</v>
      </c>
      <c r="D27" t="s">
        <v>9</v>
      </c>
      <c r="E27" t="s">
        <v>10</v>
      </c>
      <c r="F27" s="4"/>
    </row>
    <row r="28" spans="1:6" ht="29" x14ac:dyDescent="0.35">
      <c r="A28" t="str">
        <f>tblMap[[#This Row],[Company]]&amp;"|"&amp;tblMap[[#This Row],[Line item as reported]]</f>
        <v>Metro|Cost of sales (note 4)</v>
      </c>
      <c r="B28" t="s">
        <v>42</v>
      </c>
      <c r="C28" t="s">
        <v>44</v>
      </c>
      <c r="D28" t="s">
        <v>12</v>
      </c>
      <c r="E28" t="s">
        <v>10</v>
      </c>
      <c r="F28" s="4" t="s">
        <v>45</v>
      </c>
    </row>
    <row r="29" spans="1:6" x14ac:dyDescent="0.35">
      <c r="A29" t="str">
        <f>tblMap[[#This Row],[Company]]&amp;"|"&amp;tblMap[[#This Row],[Line item as reported]]</f>
        <v>Metro|Financial costs, net</v>
      </c>
      <c r="B29" t="s">
        <v>42</v>
      </c>
      <c r="C29" t="s">
        <v>46</v>
      </c>
      <c r="D29" t="s">
        <v>14</v>
      </c>
      <c r="E29" t="s">
        <v>10</v>
      </c>
      <c r="F29" s="4"/>
    </row>
    <row r="30" spans="1:6" x14ac:dyDescent="0.35">
      <c r="A30" t="str">
        <f>tblMap[[#This Row],[Company]]&amp;"|"&amp;tblMap[[#This Row],[Line item as reported]]</f>
        <v>Metro|Earnings before income taxes</v>
      </c>
      <c r="B30" t="s">
        <v>42</v>
      </c>
      <c r="C30" t="s">
        <v>15</v>
      </c>
      <c r="D30" t="s">
        <v>15</v>
      </c>
      <c r="E30" t="s">
        <v>10</v>
      </c>
      <c r="F30" s="4"/>
    </row>
    <row r="31" spans="1:6" x14ac:dyDescent="0.35">
      <c r="A31" t="str">
        <f>tblMap[[#This Row],[Company]]&amp;"|"&amp;tblMap[[#This Row],[Line item as reported]]</f>
        <v>Metro|Income taxes</v>
      </c>
      <c r="B31" t="s">
        <v>42</v>
      </c>
      <c r="C31" t="s">
        <v>16</v>
      </c>
      <c r="D31" t="s">
        <v>16</v>
      </c>
      <c r="E31" t="s">
        <v>10</v>
      </c>
      <c r="F31" s="4"/>
    </row>
    <row r="32" spans="1:6" x14ac:dyDescent="0.35">
      <c r="A32" t="str">
        <f>tblMap[[#This Row],[Company]]&amp;"|"&amp;tblMap[[#This Row],[Line item as reported]]</f>
        <v>Metro|No discontinued operations</v>
      </c>
      <c r="B32" t="s">
        <v>42</v>
      </c>
      <c r="C32" t="s">
        <v>17</v>
      </c>
      <c r="D32" t="s">
        <v>18</v>
      </c>
      <c r="E32" t="s">
        <v>10</v>
      </c>
      <c r="F32" s="4" t="s">
        <v>19</v>
      </c>
    </row>
    <row r="33" spans="1:6" x14ac:dyDescent="0.35">
      <c r="A33" t="str">
        <f>tblMap[[#This Row],[Company]]&amp;"|"&amp;tblMap[[#This Row],[Line item as reported]]</f>
        <v>Metro|Net earnings</v>
      </c>
      <c r="B33" t="s">
        <v>42</v>
      </c>
      <c r="C33" t="s">
        <v>20</v>
      </c>
      <c r="D33" t="s">
        <v>20</v>
      </c>
      <c r="E33" t="s">
        <v>10</v>
      </c>
      <c r="F33" s="4"/>
    </row>
    <row r="34" spans="1:6" x14ac:dyDescent="0.35">
      <c r="A34" t="str">
        <f>tblMap[[#This Row],[Company]]&amp;"|"&amp;tblMap[[#This Row],[Line item as reported]]</f>
        <v>Metro|Equity holders of the parent</v>
      </c>
      <c r="B34" t="s">
        <v>42</v>
      </c>
      <c r="C34" t="s">
        <v>47</v>
      </c>
      <c r="D34" t="s">
        <v>22</v>
      </c>
      <c r="E34" t="s">
        <v>10</v>
      </c>
      <c r="F34" s="4"/>
    </row>
    <row r="35" spans="1:6" x14ac:dyDescent="0.35">
      <c r="A35" t="str">
        <f>tblMap[[#This Row],[Company]]&amp;"|"&amp;tblMap[[#This Row],[Line item as reported]]</f>
        <v>Metro|Inventories</v>
      </c>
      <c r="B35" t="s">
        <v>42</v>
      </c>
      <c r="C35" t="s">
        <v>23</v>
      </c>
      <c r="D35" t="s">
        <v>23</v>
      </c>
      <c r="E35" t="s">
        <v>24</v>
      </c>
      <c r="F35" s="4"/>
    </row>
    <row r="36" spans="1:6" x14ac:dyDescent="0.35">
      <c r="A36" t="str">
        <f>tblMap[[#This Row],[Company]]&amp;"|"&amp;tblMap[[#This Row],[Line item as reported]]</f>
        <v>Metro|Current assets (unlabelled subtotal)</v>
      </c>
      <c r="B36" t="s">
        <v>42</v>
      </c>
      <c r="C36" t="s">
        <v>48</v>
      </c>
      <c r="D36" t="s">
        <v>25</v>
      </c>
      <c r="E36" t="s">
        <v>24</v>
      </c>
      <c r="F36" s="4"/>
    </row>
    <row r="37" spans="1:6" x14ac:dyDescent="0.35">
      <c r="A37" t="str">
        <f>tblMap[[#This Row],[Company]]&amp;"|"&amp;tblMap[[#This Row],[Line item as reported]]</f>
        <v>Metro|Total assets (unlabelled subtotal)</v>
      </c>
      <c r="B37" t="s">
        <v>42</v>
      </c>
      <c r="C37" t="s">
        <v>49</v>
      </c>
      <c r="D37" t="s">
        <v>26</v>
      </c>
      <c r="E37" t="s">
        <v>24</v>
      </c>
      <c r="F37" s="4"/>
    </row>
    <row r="38" spans="1:6" x14ac:dyDescent="0.35">
      <c r="A38" t="str">
        <f>tblMap[[#This Row],[Company]]&amp;"|"&amp;tblMap[[#This Row],[Line item as reported]]</f>
        <v>Metro|Current liabilities (unlabelled subtotal)</v>
      </c>
      <c r="B38" t="s">
        <v>42</v>
      </c>
      <c r="C38" t="s">
        <v>50</v>
      </c>
      <c r="D38" t="s">
        <v>27</v>
      </c>
      <c r="E38" t="s">
        <v>24</v>
      </c>
      <c r="F38" s="4"/>
    </row>
    <row r="39" spans="1:6" x14ac:dyDescent="0.35">
      <c r="A39" t="str">
        <f>tblMap[[#This Row],[Company]]&amp;"|"&amp;tblMap[[#This Row],[Line item as reported]]</f>
        <v>Metro|Total liabilities (unlabelled subtotal)</v>
      </c>
      <c r="B39" t="s">
        <v>42</v>
      </c>
      <c r="C39" t="s">
        <v>51</v>
      </c>
      <c r="D39" t="s">
        <v>28</v>
      </c>
      <c r="E39" t="s">
        <v>24</v>
      </c>
      <c r="F39" s="4"/>
    </row>
    <row r="40" spans="1:6" x14ac:dyDescent="0.35">
      <c r="A40" t="str">
        <f>tblMap[[#This Row],[Company]]&amp;"|"&amp;tblMap[[#This Row],[Line item as reported]]</f>
        <v>Metro|Total equity (unlabelled subtotal)</v>
      </c>
      <c r="B40" t="s">
        <v>42</v>
      </c>
      <c r="C40" t="s">
        <v>52</v>
      </c>
      <c r="D40" t="s">
        <v>29</v>
      </c>
      <c r="E40" t="s">
        <v>24</v>
      </c>
      <c r="F40" s="4"/>
    </row>
    <row r="41" spans="1:6" x14ac:dyDescent="0.35">
      <c r="A41" t="str">
        <f>tblMap[[#This Row],[Company]]&amp;"|"&amp;tblMap[[#This Row],[Line item as reported]]</f>
        <v>Metro|Attributable to equity holders of the parent</v>
      </c>
      <c r="B41" t="s">
        <v>42</v>
      </c>
      <c r="C41" t="s">
        <v>53</v>
      </c>
      <c r="D41" t="s">
        <v>31</v>
      </c>
      <c r="E41" t="s">
        <v>24</v>
      </c>
      <c r="F41" s="4"/>
    </row>
    <row r="42" spans="1:6" x14ac:dyDescent="0.35">
      <c r="A42" t="str">
        <f>tblMap[[#This Row],[Company]]&amp;"|"&amp;tblMap[[#This Row],[Line item as reported]]</f>
        <v>Metro|Operating activities (unlabelled subtotal)</v>
      </c>
      <c r="B42" t="s">
        <v>42</v>
      </c>
      <c r="C42" t="s">
        <v>54</v>
      </c>
      <c r="D42" t="s">
        <v>33</v>
      </c>
      <c r="E42" t="s">
        <v>34</v>
      </c>
      <c r="F42" s="4"/>
    </row>
    <row r="43" spans="1:6" x14ac:dyDescent="0.35">
      <c r="A43" t="str">
        <f>tblMap[[#This Row],[Company]]&amp;"|"&amp;tblMap[[#This Row],[Line item as reported]]</f>
        <v>Metro|Additions to fixed assets and investment properties</v>
      </c>
      <c r="B43" t="s">
        <v>42</v>
      </c>
      <c r="C43" t="s">
        <v>55</v>
      </c>
      <c r="D43" t="s">
        <v>36</v>
      </c>
      <c r="E43" t="s">
        <v>34</v>
      </c>
      <c r="F43" s="4"/>
    </row>
    <row r="44" spans="1:6" x14ac:dyDescent="0.35">
      <c r="A44" t="str">
        <f>tblMap[[#This Row],[Company]]&amp;"|"&amp;tblMap[[#This Row],[Line item as reported]]</f>
        <v>Metro|Additions to intangible assets</v>
      </c>
      <c r="B44" t="s">
        <v>42</v>
      </c>
      <c r="C44" t="s">
        <v>56</v>
      </c>
      <c r="D44" t="s">
        <v>38</v>
      </c>
      <c r="E44" t="s">
        <v>34</v>
      </c>
      <c r="F44" s="4"/>
    </row>
    <row r="45" spans="1:6" x14ac:dyDescent="0.35">
      <c r="A45" t="str">
        <f>tblMap[[#This Row],[Company]]&amp;"|"&amp;tblMap[[#This Row],[Line item as reported]]</f>
        <v>Metro|Payment of lease liabilities (principal)</v>
      </c>
      <c r="B45" t="s">
        <v>42</v>
      </c>
      <c r="C45" t="s">
        <v>57</v>
      </c>
      <c r="D45" t="s">
        <v>40</v>
      </c>
      <c r="E45" t="s">
        <v>34</v>
      </c>
      <c r="F45" s="4"/>
    </row>
    <row r="46" spans="1:6" x14ac:dyDescent="0.35">
      <c r="A46" t="str">
        <f>tblMap[[#This Row],[Company]]&amp;"|"&amp;tblMap[[#This Row],[Line item as reported]]</f>
        <v>Metro|Cost of sales</v>
      </c>
      <c r="B46" t="s">
        <v>42</v>
      </c>
      <c r="C46" t="s">
        <v>12</v>
      </c>
      <c r="D46" t="s">
        <v>12</v>
      </c>
      <c r="E46" t="s">
        <v>10</v>
      </c>
      <c r="F46" s="4"/>
    </row>
    <row r="47" spans="1:6" x14ac:dyDescent="0.35">
      <c r="A47" t="str">
        <f>tblMap[[#This Row],[Company]]&amp;"|"&amp;tblMap[[#This Row],[Line item as reported]]</f>
        <v>Metro|Net financial costs</v>
      </c>
      <c r="B47" t="s">
        <v>42</v>
      </c>
      <c r="C47" t="s">
        <v>58</v>
      </c>
      <c r="D47" t="s">
        <v>14</v>
      </c>
      <c r="E47" t="s">
        <v>10</v>
      </c>
      <c r="F47" s="4"/>
    </row>
    <row r="48" spans="1:6" x14ac:dyDescent="0.35">
      <c r="A48" t="str">
        <f>tblMap[[#This Row],[Company]]&amp;"|"&amp;tblMap[[#This Row],[Line item as reported]]</f>
        <v>Metro|Additions to fixed assets</v>
      </c>
      <c r="B48" t="s">
        <v>42</v>
      </c>
      <c r="C48" t="s">
        <v>59</v>
      </c>
      <c r="D48" t="s">
        <v>36</v>
      </c>
      <c r="E48" t="s">
        <v>34</v>
      </c>
      <c r="F48" s="4"/>
    </row>
    <row r="49" spans="1:6" x14ac:dyDescent="0.35">
      <c r="A49" t="str">
        <f>tblMap[[#This Row],[Company]]&amp;"|"&amp;tblMap[[#This Row],[Line item as reported]]</f>
        <v>Metro|Additions to intangible assets and goodwill</v>
      </c>
      <c r="B49" t="s">
        <v>42</v>
      </c>
      <c r="C49" t="s">
        <v>60</v>
      </c>
      <c r="D49" t="s">
        <v>38</v>
      </c>
      <c r="E49" t="s">
        <v>34</v>
      </c>
      <c r="F49" s="4"/>
    </row>
    <row r="50" spans="1:6" x14ac:dyDescent="0.35">
      <c r="A50" t="str">
        <f>tblMap[[#This Row],[Company]]&amp;"|"&amp;tblMap[[#This Row],[Line item as reported]]</f>
        <v>Empire|Sales</v>
      </c>
      <c r="B50" t="s">
        <v>61</v>
      </c>
      <c r="C50" t="s">
        <v>43</v>
      </c>
      <c r="D50" t="s">
        <v>9</v>
      </c>
      <c r="E50" t="s">
        <v>10</v>
      </c>
      <c r="F50" s="4"/>
    </row>
    <row r="51" spans="1:6" x14ac:dyDescent="0.35">
      <c r="A51" t="str">
        <f>tblMap[[#This Row],[Company]]&amp;"|"&amp;tblMap[[#This Row],[Line item as reported]]</f>
        <v>Empire|Cost of sales</v>
      </c>
      <c r="B51" t="s">
        <v>61</v>
      </c>
      <c r="C51" t="s">
        <v>12</v>
      </c>
      <c r="D51" t="s">
        <v>12</v>
      </c>
      <c r="E51" t="s">
        <v>10</v>
      </c>
      <c r="F51" s="4"/>
    </row>
    <row r="52" spans="1:6" x14ac:dyDescent="0.35">
      <c r="A52" t="str">
        <f>tblMap[[#This Row],[Company]]&amp;"|"&amp;tblMap[[#This Row],[Line item as reported]]</f>
        <v>Empire|Finance costs, net</v>
      </c>
      <c r="B52" t="s">
        <v>61</v>
      </c>
      <c r="C52" t="s">
        <v>62</v>
      </c>
      <c r="D52" t="s">
        <v>14</v>
      </c>
      <c r="E52" t="s">
        <v>10</v>
      </c>
      <c r="F52" s="4"/>
    </row>
    <row r="53" spans="1:6" x14ac:dyDescent="0.35">
      <c r="A53" t="str">
        <f>tblMap[[#This Row],[Company]]&amp;"|"&amp;tblMap[[#This Row],[Line item as reported]]</f>
        <v>Empire|Earnings before income taxes</v>
      </c>
      <c r="B53" t="s">
        <v>61</v>
      </c>
      <c r="C53" t="s">
        <v>15</v>
      </c>
      <c r="D53" t="s">
        <v>15</v>
      </c>
      <c r="E53" t="s">
        <v>10</v>
      </c>
      <c r="F53" s="4"/>
    </row>
    <row r="54" spans="1:6" x14ac:dyDescent="0.35">
      <c r="A54" t="str">
        <f>tblMap[[#This Row],[Company]]&amp;"|"&amp;tblMap[[#This Row],[Line item as reported]]</f>
        <v>Empire|Income tax expense</v>
      </c>
      <c r="B54" t="s">
        <v>61</v>
      </c>
      <c r="C54" t="s">
        <v>63</v>
      </c>
      <c r="D54" t="s">
        <v>16</v>
      </c>
      <c r="E54" t="s">
        <v>10</v>
      </c>
      <c r="F54" s="4"/>
    </row>
    <row r="55" spans="1:6" x14ac:dyDescent="0.35">
      <c r="A55" t="str">
        <f>tblMap[[#This Row],[Company]]&amp;"|"&amp;tblMap[[#This Row],[Line item as reported]]</f>
        <v>Empire|No discontinued operations</v>
      </c>
      <c r="B55" t="s">
        <v>61</v>
      </c>
      <c r="C55" t="s">
        <v>17</v>
      </c>
      <c r="D55" t="s">
        <v>18</v>
      </c>
      <c r="E55" t="s">
        <v>10</v>
      </c>
      <c r="F55" s="4" t="s">
        <v>19</v>
      </c>
    </row>
    <row r="56" spans="1:6" x14ac:dyDescent="0.35">
      <c r="A56" t="str">
        <f>tblMap[[#This Row],[Company]]&amp;"|"&amp;tblMap[[#This Row],[Line item as reported]]</f>
        <v>Empire|Net earnings</v>
      </c>
      <c r="B56" t="s">
        <v>61</v>
      </c>
      <c r="C56" t="s">
        <v>20</v>
      </c>
      <c r="D56" t="s">
        <v>20</v>
      </c>
      <c r="E56" t="s">
        <v>10</v>
      </c>
      <c r="F56" s="4"/>
    </row>
    <row r="57" spans="1:6" x14ac:dyDescent="0.35">
      <c r="A57" t="str">
        <f>tblMap[[#This Row],[Company]]&amp;"|"&amp;tblMap[[#This Row],[Line item as reported]]</f>
        <v>Empire|Owners of the Company</v>
      </c>
      <c r="B57" t="s">
        <v>61</v>
      </c>
      <c r="C57" t="s">
        <v>64</v>
      </c>
      <c r="D57" t="s">
        <v>22</v>
      </c>
      <c r="E57" t="s">
        <v>10</v>
      </c>
      <c r="F57" s="4"/>
    </row>
    <row r="58" spans="1:6" x14ac:dyDescent="0.35">
      <c r="A58" t="str">
        <f>tblMap[[#This Row],[Company]]&amp;"|"&amp;tblMap[[#This Row],[Line item as reported]]</f>
        <v>Empire|Inventories</v>
      </c>
      <c r="B58" t="s">
        <v>61</v>
      </c>
      <c r="C58" t="s">
        <v>23</v>
      </c>
      <c r="D58" t="s">
        <v>23</v>
      </c>
      <c r="E58" t="s">
        <v>24</v>
      </c>
      <c r="F58" s="4"/>
    </row>
    <row r="59" spans="1:6" x14ac:dyDescent="0.35">
      <c r="A59" t="str">
        <f>tblMap[[#This Row],[Company]]&amp;"|"&amp;tblMap[[#This Row],[Line item as reported]]</f>
        <v>Empire|Current assets (unlabelled subtotal)</v>
      </c>
      <c r="B59" t="s">
        <v>61</v>
      </c>
      <c r="C59" t="s">
        <v>48</v>
      </c>
      <c r="D59" t="s">
        <v>25</v>
      </c>
      <c r="E59" t="s">
        <v>24</v>
      </c>
      <c r="F59" s="4"/>
    </row>
    <row r="60" spans="1:6" x14ac:dyDescent="0.35">
      <c r="A60" t="str">
        <f>tblMap[[#This Row],[Company]]&amp;"|"&amp;tblMap[[#This Row],[Line item as reported]]</f>
        <v>Empire|Total assets (unlabelled subtotal)</v>
      </c>
      <c r="B60" t="s">
        <v>61</v>
      </c>
      <c r="C60" t="s">
        <v>49</v>
      </c>
      <c r="D60" t="s">
        <v>26</v>
      </c>
      <c r="E60" t="s">
        <v>24</v>
      </c>
      <c r="F60" s="4"/>
    </row>
    <row r="61" spans="1:6" x14ac:dyDescent="0.35">
      <c r="A61" t="str">
        <f>tblMap[[#This Row],[Company]]&amp;"|"&amp;tblMap[[#This Row],[Line item as reported]]</f>
        <v>Empire|Current liabilities (unlabelled subtotal)</v>
      </c>
      <c r="B61" t="s">
        <v>61</v>
      </c>
      <c r="C61" t="s">
        <v>50</v>
      </c>
      <c r="D61" t="s">
        <v>27</v>
      </c>
      <c r="E61" t="s">
        <v>24</v>
      </c>
      <c r="F61" s="4"/>
    </row>
    <row r="62" spans="1:6" x14ac:dyDescent="0.35">
      <c r="A62" t="str">
        <f>tblMap[[#This Row],[Company]]&amp;"|"&amp;tblMap[[#This Row],[Line item as reported]]</f>
        <v>Empire|Total liabilities (unlabelled subtotal)</v>
      </c>
      <c r="B62" t="s">
        <v>61</v>
      </c>
      <c r="C62" t="s">
        <v>51</v>
      </c>
      <c r="D62" t="s">
        <v>28</v>
      </c>
      <c r="E62" t="s">
        <v>24</v>
      </c>
      <c r="F62" s="4"/>
    </row>
    <row r="63" spans="1:6" x14ac:dyDescent="0.35">
      <c r="A63" t="str">
        <f>tblMap[[#This Row],[Company]]&amp;"|"&amp;tblMap[[#This Row],[Line item as reported]]</f>
        <v>Empire|Total equity (unlabelled subtotal)</v>
      </c>
      <c r="B63" t="s">
        <v>61</v>
      </c>
      <c r="C63" t="s">
        <v>52</v>
      </c>
      <c r="D63" t="s">
        <v>29</v>
      </c>
      <c r="E63" t="s">
        <v>24</v>
      </c>
      <c r="F63" s="4"/>
    </row>
    <row r="64" spans="1:6" x14ac:dyDescent="0.35">
      <c r="A64" t="str">
        <f>tblMap[[#This Row],[Company]]&amp;"|"&amp;tblMap[[#This Row],[Line item as reported]]</f>
        <v>Empire|Shareholders' equity before non-controlling interest (unlabelled subtotal)</v>
      </c>
      <c r="B64" t="s">
        <v>61</v>
      </c>
      <c r="C64" t="s">
        <v>65</v>
      </c>
      <c r="D64" t="s">
        <v>31</v>
      </c>
      <c r="E64" t="s">
        <v>24</v>
      </c>
      <c r="F64" s="4"/>
    </row>
    <row r="65" spans="1:6" x14ac:dyDescent="0.35">
      <c r="A65" t="str">
        <f>tblMap[[#This Row],[Company]]&amp;"|"&amp;tblMap[[#This Row],[Line item as reported]]</f>
        <v>Empire|Cash flows from operating activities</v>
      </c>
      <c r="B65" t="s">
        <v>61</v>
      </c>
      <c r="C65" t="s">
        <v>32</v>
      </c>
      <c r="D65" t="s">
        <v>33</v>
      </c>
      <c r="E65" t="s">
        <v>34</v>
      </c>
      <c r="F65" s="4"/>
    </row>
    <row r="66" spans="1:6" x14ac:dyDescent="0.35">
      <c r="A66" t="str">
        <f>tblMap[[#This Row],[Company]]&amp;"|"&amp;tblMap[[#This Row],[Line item as reported]]</f>
        <v>Empire|Property, equipment and investment property purchases</v>
      </c>
      <c r="B66" t="s">
        <v>61</v>
      </c>
      <c r="C66" t="s">
        <v>66</v>
      </c>
      <c r="D66" t="s">
        <v>36</v>
      </c>
      <c r="E66" t="s">
        <v>34</v>
      </c>
      <c r="F66" s="4"/>
    </row>
    <row r="67" spans="1:6" x14ac:dyDescent="0.35">
      <c r="A67" t="str">
        <f>tblMap[[#This Row],[Company]]&amp;"|"&amp;tblMap[[#This Row],[Line item as reported]]</f>
        <v>Empire|Additions to intangibles</v>
      </c>
      <c r="B67" t="s">
        <v>61</v>
      </c>
      <c r="C67" t="s">
        <v>67</v>
      </c>
      <c r="D67" t="s">
        <v>38</v>
      </c>
      <c r="E67" t="s">
        <v>34</v>
      </c>
      <c r="F67" s="4"/>
    </row>
    <row r="68" spans="1:6" x14ac:dyDescent="0.35">
      <c r="A68" t="str">
        <f>tblMap[[#This Row],[Company]]&amp;"|"&amp;tblMap[[#This Row],[Line item as reported]]</f>
        <v>Empire|Payments of lease liabilities (principal portion)</v>
      </c>
      <c r="B68" t="s">
        <v>61</v>
      </c>
      <c r="C68" t="s">
        <v>68</v>
      </c>
      <c r="D68" t="s">
        <v>40</v>
      </c>
      <c r="E68" t="s">
        <v>34</v>
      </c>
      <c r="F68" s="4"/>
    </row>
    <row r="69" spans="1:6" x14ac:dyDescent="0.35">
      <c r="A69" t="str">
        <f>tblMap[[#This Row],[Company]]&amp;"|"&amp;tblMap[[#This Row],[Line item as reported]]</f>
        <v>Empire|Intangible purchases</v>
      </c>
      <c r="B69" t="s">
        <v>61</v>
      </c>
      <c r="C69" t="s">
        <v>69</v>
      </c>
      <c r="D69" t="s">
        <v>38</v>
      </c>
      <c r="E69" t="s">
        <v>34</v>
      </c>
      <c r="F69" s="4"/>
    </row>
    <row r="70" spans="1:6" x14ac:dyDescent="0.35">
      <c r="A70" t="str">
        <f>tblMap[[#This Row],[Company]]&amp;"|"&amp;tblMap[[#This Row],[Line item as reported]]</f>
        <v>Empire|Total current assets</v>
      </c>
      <c r="B70" t="s">
        <v>61</v>
      </c>
      <c r="C70" t="s">
        <v>25</v>
      </c>
      <c r="D70" t="s">
        <v>25</v>
      </c>
      <c r="E70" t="s">
        <v>24</v>
      </c>
      <c r="F70" s="4"/>
    </row>
    <row r="71" spans="1:6" x14ac:dyDescent="0.35">
      <c r="A71" t="str">
        <f>tblMap[[#This Row],[Company]]&amp;"|"&amp;tblMap[[#This Row],[Line item as reported]]</f>
        <v>Empire|Total assets</v>
      </c>
      <c r="B71" t="s">
        <v>61</v>
      </c>
      <c r="C71" t="s">
        <v>26</v>
      </c>
      <c r="D71" t="s">
        <v>26</v>
      </c>
      <c r="E71" t="s">
        <v>24</v>
      </c>
      <c r="F71" s="4"/>
    </row>
    <row r="72" spans="1:6" x14ac:dyDescent="0.35">
      <c r="A72" t="str">
        <f>tblMap[[#This Row],[Company]]&amp;"|"&amp;tblMap[[#This Row],[Line item as reported]]</f>
        <v>Empire|Total current liabilities</v>
      </c>
      <c r="B72" t="s">
        <v>61</v>
      </c>
      <c r="C72" t="s">
        <v>27</v>
      </c>
      <c r="D72" t="s">
        <v>27</v>
      </c>
      <c r="E72" t="s">
        <v>24</v>
      </c>
      <c r="F72" s="4"/>
    </row>
    <row r="73" spans="1:6" x14ac:dyDescent="0.35">
      <c r="A73" t="str">
        <f>tblMap[[#This Row],[Company]]&amp;"|"&amp;tblMap[[#This Row],[Line item as reported]]</f>
        <v>Empire|Total liabilities</v>
      </c>
      <c r="B73" t="s">
        <v>61</v>
      </c>
      <c r="C73" t="s">
        <v>28</v>
      </c>
      <c r="D73" t="s">
        <v>28</v>
      </c>
      <c r="E73" t="s">
        <v>24</v>
      </c>
      <c r="F73" s="4"/>
    </row>
    <row r="74" spans="1:6" x14ac:dyDescent="0.35">
      <c r="A74" t="str">
        <f>tblMap[[#This Row],[Company]]&amp;"|"&amp;tblMap[[#This Row],[Line item as reported]]</f>
        <v>Empire|Total equity</v>
      </c>
      <c r="B74" t="s">
        <v>61</v>
      </c>
      <c r="C74" t="s">
        <v>29</v>
      </c>
      <c r="D74" t="s">
        <v>29</v>
      </c>
      <c r="E74" t="s">
        <v>24</v>
      </c>
      <c r="F74" s="4"/>
    </row>
    <row r="75" spans="1:6" x14ac:dyDescent="0.35">
      <c r="A75" t="str">
        <f>tblMap[[#This Row],[Company]]&amp;"|"&amp;tblMap[[#This Row],[Line item as reported]]</f>
        <v>Empire|Total equity attributable to Owners of the Company</v>
      </c>
      <c r="B75" t="s">
        <v>61</v>
      </c>
      <c r="C75" t="s">
        <v>70</v>
      </c>
      <c r="D75" t="s">
        <v>31</v>
      </c>
      <c r="E75" t="s">
        <v>24</v>
      </c>
      <c r="F75" s="4"/>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0458-2F58-4F17-970C-ACB441AF9A12}">
  <sheetPr>
    <tabColor rgb="FF0046BE"/>
  </sheetPr>
  <dimension ref="A1:I23"/>
  <sheetViews>
    <sheetView workbookViewId="0"/>
  </sheetViews>
  <sheetFormatPr defaultRowHeight="14.5" x14ac:dyDescent="0.35"/>
  <cols>
    <col min="1" max="1" width="13.6328125" customWidth="1"/>
    <col min="2" max="2" width="10.6328125" customWidth="1"/>
    <col min="3" max="3" width="11.6328125" customWidth="1"/>
    <col min="4" max="4" width="12.6328125" customWidth="1"/>
    <col min="5" max="5" width="8.6328125" customWidth="1"/>
    <col min="6" max="6" width="14.6328125" customWidth="1"/>
    <col min="7" max="7" width="60.6328125" customWidth="1"/>
    <col min="8" max="8" width="45.6328125" customWidth="1"/>
    <col min="9" max="9" width="70.6328125" customWidth="1"/>
  </cols>
  <sheetData>
    <row r="1" spans="1:9" ht="21" x14ac:dyDescent="0.35">
      <c r="A1" s="1" t="s">
        <v>71</v>
      </c>
    </row>
    <row r="2" spans="1:9" x14ac:dyDescent="0.35">
      <c r="A2" s="3" t="s">
        <v>72</v>
      </c>
    </row>
    <row r="5" spans="1:9" x14ac:dyDescent="0.35">
      <c r="A5" t="s">
        <v>73</v>
      </c>
      <c r="B5" t="s">
        <v>3</v>
      </c>
      <c r="C5" t="s">
        <v>74</v>
      </c>
      <c r="D5" t="s">
        <v>75</v>
      </c>
      <c r="E5" t="s">
        <v>76</v>
      </c>
      <c r="F5" t="s">
        <v>77</v>
      </c>
      <c r="G5" t="s">
        <v>78</v>
      </c>
      <c r="H5" t="s">
        <v>79</v>
      </c>
      <c r="I5" t="s">
        <v>7</v>
      </c>
    </row>
    <row r="6" spans="1:9" ht="29" x14ac:dyDescent="0.35">
      <c r="A6" t="str">
        <f>tblPeriods[[#This Row],[Company]]&amp;"|"&amp;tblPeriods[[#This Row],[Fiscal year]]</f>
        <v>Loblaw|2020</v>
      </c>
      <c r="B6" t="s">
        <v>8</v>
      </c>
      <c r="C6">
        <v>2020</v>
      </c>
      <c r="D6" s="6">
        <v>44198</v>
      </c>
      <c r="E6" s="7">
        <v>53</v>
      </c>
      <c r="F6" s="8">
        <v>0.29499999999999998</v>
      </c>
      <c r="G6" s="4" t="s">
        <v>80</v>
      </c>
      <c r="H6" s="4" t="s">
        <v>81</v>
      </c>
      <c r="I6" s="4" t="s">
        <v>82</v>
      </c>
    </row>
    <row r="7" spans="1:9" ht="29" x14ac:dyDescent="0.35">
      <c r="A7" t="str">
        <f>tblPeriods[[#This Row],[Company]]&amp;"|"&amp;tblPeriods[[#This Row],[Fiscal year]]</f>
        <v>Loblaw|2021</v>
      </c>
      <c r="B7" t="s">
        <v>8</v>
      </c>
      <c r="C7">
        <v>2021</v>
      </c>
      <c r="D7" s="6">
        <v>44562</v>
      </c>
      <c r="E7" s="7">
        <v>52</v>
      </c>
      <c r="F7" s="8">
        <v>0.307</v>
      </c>
      <c r="G7" s="4" t="s">
        <v>83</v>
      </c>
      <c r="H7" s="4" t="s">
        <v>81</v>
      </c>
      <c r="I7" s="4" t="s">
        <v>84</v>
      </c>
    </row>
    <row r="8" spans="1:9" ht="29" x14ac:dyDescent="0.35">
      <c r="A8" t="str">
        <f>tblPeriods[[#This Row],[Company]]&amp;"|"&amp;tblPeriods[[#This Row],[Fiscal year]]</f>
        <v>Loblaw|2022</v>
      </c>
      <c r="B8" t="s">
        <v>8</v>
      </c>
      <c r="C8">
        <v>2022</v>
      </c>
      <c r="D8" s="6">
        <v>44926</v>
      </c>
      <c r="E8" s="7">
        <v>52</v>
      </c>
      <c r="F8" s="8">
        <v>0.309</v>
      </c>
      <c r="G8" s="4" t="s">
        <v>85</v>
      </c>
      <c r="H8" s="4" t="s">
        <v>81</v>
      </c>
      <c r="I8" s="4" t="s">
        <v>84</v>
      </c>
    </row>
    <row r="9" spans="1:9" ht="29" x14ac:dyDescent="0.35">
      <c r="A9" t="str">
        <f>tblPeriods[[#This Row],[Company]]&amp;"|"&amp;tblPeriods[[#This Row],[Fiscal year]]</f>
        <v>Loblaw|2023</v>
      </c>
      <c r="B9" t="s">
        <v>8</v>
      </c>
      <c r="C9">
        <v>2023</v>
      </c>
      <c r="D9" s="6">
        <v>45290</v>
      </c>
      <c r="E9" s="7">
        <v>52</v>
      </c>
      <c r="F9" s="8">
        <v>0.31</v>
      </c>
      <c r="G9" s="4" t="s">
        <v>86</v>
      </c>
      <c r="H9" s="4" t="s">
        <v>81</v>
      </c>
      <c r="I9" s="4" t="s">
        <v>84</v>
      </c>
    </row>
    <row r="10" spans="1:9" ht="29" x14ac:dyDescent="0.35">
      <c r="A10" t="str">
        <f>tblPeriods[[#This Row],[Company]]&amp;"|"&amp;tblPeriods[[#This Row],[Fiscal year]]</f>
        <v>Loblaw|2024</v>
      </c>
      <c r="B10" t="s">
        <v>8</v>
      </c>
      <c r="C10">
        <v>2024</v>
      </c>
      <c r="D10" s="6">
        <v>45654</v>
      </c>
      <c r="E10" s="7">
        <v>52</v>
      </c>
      <c r="F10" s="8">
        <v>0.313</v>
      </c>
      <c r="G10" s="4" t="s">
        <v>87</v>
      </c>
      <c r="H10" s="4"/>
      <c r="I10" s="4" t="s">
        <v>88</v>
      </c>
    </row>
    <row r="11" spans="1:9" ht="29" x14ac:dyDescent="0.35">
      <c r="A11" t="str">
        <f>tblPeriods[[#This Row],[Company]]&amp;"|"&amp;tblPeriods[[#This Row],[Fiscal year]]</f>
        <v>Loblaw|2025</v>
      </c>
      <c r="B11" t="s">
        <v>8</v>
      </c>
      <c r="C11">
        <v>2025</v>
      </c>
      <c r="D11" s="6">
        <v>46025</v>
      </c>
      <c r="E11" s="7">
        <v>53</v>
      </c>
      <c r="F11" s="8">
        <v>0.313</v>
      </c>
      <c r="G11" s="4" t="s">
        <v>89</v>
      </c>
      <c r="H11" s="4"/>
      <c r="I11" s="4" t="s">
        <v>90</v>
      </c>
    </row>
    <row r="12" spans="1:9" x14ac:dyDescent="0.35">
      <c r="A12" t="str">
        <f>tblPeriods[[#This Row],[Company]]&amp;"|"&amp;tblPeriods[[#This Row],[Fiscal year]]</f>
        <v>Metro|2020</v>
      </c>
      <c r="B12" t="s">
        <v>42</v>
      </c>
      <c r="C12">
        <v>2020</v>
      </c>
      <c r="D12" s="6">
        <v>44100</v>
      </c>
      <c r="E12" s="7">
        <v>52</v>
      </c>
      <c r="F12" s="8">
        <v>0.19900000000000001</v>
      </c>
      <c r="G12" s="4" t="s">
        <v>91</v>
      </c>
      <c r="H12" s="4"/>
      <c r="I12" s="4" t="s">
        <v>92</v>
      </c>
    </row>
    <row r="13" spans="1:9" x14ac:dyDescent="0.35">
      <c r="A13" t="str">
        <f>tblPeriods[[#This Row],[Company]]&amp;"|"&amp;tblPeriods[[#This Row],[Fiscal year]]</f>
        <v>Metro|2021</v>
      </c>
      <c r="B13" t="s">
        <v>42</v>
      </c>
      <c r="C13">
        <v>2021</v>
      </c>
      <c r="D13" s="6">
        <v>44464</v>
      </c>
      <c r="E13" s="7">
        <v>52</v>
      </c>
      <c r="F13" s="8">
        <v>0.2</v>
      </c>
      <c r="G13" s="4" t="s">
        <v>93</v>
      </c>
      <c r="H13" s="4"/>
      <c r="I13" s="4" t="s">
        <v>92</v>
      </c>
    </row>
    <row r="14" spans="1:9" x14ac:dyDescent="0.35">
      <c r="A14" t="str">
        <f>tblPeriods[[#This Row],[Company]]&amp;"|"&amp;tblPeriods[[#This Row],[Fiscal year]]</f>
        <v>Metro|2022</v>
      </c>
      <c r="B14" t="s">
        <v>42</v>
      </c>
      <c r="C14">
        <v>2022</v>
      </c>
      <c r="D14" s="6">
        <v>44828</v>
      </c>
      <c r="E14" s="7">
        <v>52</v>
      </c>
      <c r="F14" s="8">
        <v>0.2</v>
      </c>
      <c r="G14" s="4" t="s">
        <v>94</v>
      </c>
      <c r="H14" s="4"/>
      <c r="I14" s="4"/>
    </row>
    <row r="15" spans="1:9" x14ac:dyDescent="0.35">
      <c r="A15" t="str">
        <f>tblPeriods[[#This Row],[Company]]&amp;"|"&amp;tblPeriods[[#This Row],[Fiscal year]]</f>
        <v>Metro|2023</v>
      </c>
      <c r="B15" t="s">
        <v>42</v>
      </c>
      <c r="C15">
        <v>2023</v>
      </c>
      <c r="D15" s="6">
        <v>45199</v>
      </c>
      <c r="E15" s="7">
        <v>53</v>
      </c>
      <c r="F15" s="8">
        <v>0.19700000000000001</v>
      </c>
      <c r="G15" s="4" t="s">
        <v>95</v>
      </c>
      <c r="H15" s="4"/>
      <c r="I15" s="4" t="s">
        <v>96</v>
      </c>
    </row>
    <row r="16" spans="1:9" x14ac:dyDescent="0.35">
      <c r="A16" t="str">
        <f>tblPeriods[[#This Row],[Company]]&amp;"|"&amp;tblPeriods[[#This Row],[Fiscal year]]</f>
        <v>Metro|2024</v>
      </c>
      <c r="B16" t="s">
        <v>42</v>
      </c>
      <c r="C16">
        <v>2024</v>
      </c>
      <c r="D16" s="6">
        <v>45563</v>
      </c>
      <c r="E16" s="7">
        <v>52</v>
      </c>
      <c r="F16" s="8">
        <v>0.19700000000000001</v>
      </c>
      <c r="G16" s="4" t="s">
        <v>97</v>
      </c>
      <c r="H16" s="4"/>
      <c r="I16" s="4"/>
    </row>
    <row r="17" spans="1:9" x14ac:dyDescent="0.35">
      <c r="A17" t="str">
        <f>tblPeriods[[#This Row],[Company]]&amp;"|"&amp;tblPeriods[[#This Row],[Fiscal year]]</f>
        <v>Metro|2025</v>
      </c>
      <c r="B17" t="s">
        <v>42</v>
      </c>
      <c r="C17">
        <v>2025</v>
      </c>
      <c r="D17" s="6">
        <v>45927</v>
      </c>
      <c r="E17" s="7">
        <v>52</v>
      </c>
      <c r="F17" s="8">
        <v>0.19900000000000001</v>
      </c>
      <c r="G17" s="4" t="s">
        <v>98</v>
      </c>
      <c r="H17" s="4"/>
      <c r="I17" s="4"/>
    </row>
    <row r="18" spans="1:9" x14ac:dyDescent="0.35">
      <c r="A18" t="str">
        <f>tblPeriods[[#This Row],[Company]]&amp;"|"&amp;tblPeriods[[#This Row],[Fiscal year]]</f>
        <v>Empire|2020</v>
      </c>
      <c r="B18" t="s">
        <v>61</v>
      </c>
      <c r="C18">
        <v>2020</v>
      </c>
      <c r="D18" s="6">
        <v>43953</v>
      </c>
      <c r="E18" s="7">
        <v>52</v>
      </c>
      <c r="F18" s="8">
        <v>0.249</v>
      </c>
      <c r="G18" s="4" t="s">
        <v>99</v>
      </c>
      <c r="H18" s="4"/>
      <c r="I18" s="4"/>
    </row>
    <row r="19" spans="1:9" x14ac:dyDescent="0.35">
      <c r="A19" t="str">
        <f>tblPeriods[[#This Row],[Company]]&amp;"|"&amp;tblPeriods[[#This Row],[Fiscal year]]</f>
        <v>Empire|2021</v>
      </c>
      <c r="B19" t="s">
        <v>61</v>
      </c>
      <c r="C19">
        <v>2021</v>
      </c>
      <c r="D19" s="6">
        <v>44317</v>
      </c>
      <c r="E19" s="7">
        <v>52</v>
      </c>
      <c r="F19" s="8">
        <v>0.255</v>
      </c>
      <c r="G19" s="4" t="s">
        <v>100</v>
      </c>
      <c r="H19" s="4"/>
      <c r="I19" s="4"/>
    </row>
    <row r="20" spans="1:9" x14ac:dyDescent="0.35">
      <c r="A20" t="str">
        <f>tblPeriods[[#This Row],[Company]]&amp;"|"&amp;tblPeriods[[#This Row],[Fiscal year]]</f>
        <v>Empire|2022</v>
      </c>
      <c r="B20" t="s">
        <v>61</v>
      </c>
      <c r="C20">
        <v>2022</v>
      </c>
      <c r="D20" s="6">
        <v>44688</v>
      </c>
      <c r="E20" s="7">
        <v>53</v>
      </c>
      <c r="F20" s="8">
        <v>0.254</v>
      </c>
      <c r="G20" s="4" t="s">
        <v>101</v>
      </c>
      <c r="H20" s="4"/>
      <c r="I20" s="4" t="s">
        <v>102</v>
      </c>
    </row>
    <row r="21" spans="1:9" x14ac:dyDescent="0.35">
      <c r="A21" t="str">
        <f>tblPeriods[[#This Row],[Company]]&amp;"|"&amp;tblPeriods[[#This Row],[Fiscal year]]</f>
        <v>Empire|2023</v>
      </c>
      <c r="B21" t="s">
        <v>61</v>
      </c>
      <c r="C21">
        <v>2023</v>
      </c>
      <c r="D21" s="6">
        <v>45052</v>
      </c>
      <c r="E21" s="7">
        <v>52</v>
      </c>
      <c r="F21" s="8">
        <v>0.25600000000000001</v>
      </c>
      <c r="G21" s="4" t="s">
        <v>103</v>
      </c>
      <c r="H21" s="4"/>
      <c r="I21" s="4" t="s">
        <v>104</v>
      </c>
    </row>
    <row r="22" spans="1:9" x14ac:dyDescent="0.35">
      <c r="A22" t="str">
        <f>tblPeriods[[#This Row],[Company]]&amp;"|"&amp;tblPeriods[[#This Row],[Fiscal year]]</f>
        <v>Empire|2024</v>
      </c>
      <c r="B22" t="s">
        <v>61</v>
      </c>
      <c r="C22">
        <v>2024</v>
      </c>
      <c r="D22" s="6">
        <v>45416</v>
      </c>
      <c r="E22" s="7">
        <v>52</v>
      </c>
      <c r="F22" s="8">
        <v>0.26300000000000001</v>
      </c>
      <c r="G22" s="4" t="s">
        <v>105</v>
      </c>
      <c r="H22" s="4"/>
      <c r="I22" s="4"/>
    </row>
    <row r="23" spans="1:9" x14ac:dyDescent="0.35">
      <c r="A23" t="str">
        <f>tblPeriods[[#This Row],[Company]]&amp;"|"&amp;tblPeriods[[#This Row],[Fiscal year]]</f>
        <v>Empire|2025</v>
      </c>
      <c r="B23" t="s">
        <v>61</v>
      </c>
      <c r="C23">
        <v>2025</v>
      </c>
      <c r="D23" s="6">
        <v>45780</v>
      </c>
      <c r="E23" s="7">
        <v>52</v>
      </c>
      <c r="F23" s="8">
        <v>0.26800000000000002</v>
      </c>
      <c r="G23" s="4" t="s">
        <v>106</v>
      </c>
      <c r="H23" s="4"/>
      <c r="I23" s="4"/>
    </row>
  </sheetData>
  <phoneticPr fontId="4" type="noConversion"/>
  <conditionalFormatting sqref="E6:E23">
    <cfRule type="expression" dxfId="0" priority="1" stopIfTrue="1">
      <formula>$E6=53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Cover</vt:lpstr>
      <vt:lpstr>Dashboard</vt:lpstr>
      <vt:lpstr>Findings</vt:lpstr>
      <vt:lpstr>Ratios</vt:lpstr>
      <vt:lpstr>Model</vt:lpstr>
      <vt:lpstr>YoY</vt:lpstr>
      <vt:lpstr>Forecast</vt:lpstr>
      <vt:lpstr>Pivot</vt:lpstr>
      <vt:lpstr>Checks</vt:lpstr>
      <vt:lpstr>Data</vt:lpstr>
      <vt:lpstr>Map</vt:lpstr>
      <vt:lpstr>Periods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Canadian Grocers Financial Analysis</dc:title>
  <dc:creator>Duoming Yuan</dc:creator>
  <cp:lastModifiedBy>铎铭 袁</cp:lastModifiedBy>
  <dcterms:created xsi:type="dcterms:W3CDTF">2026-10-28T22:56:25Z</dcterms:created>
  <dcterms:modified xsi:type="dcterms:W3CDTF">2026-10-28T22:56:33Z</dcterms:modified>
</cp:coreProperties>
</file>